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testing\YASHART-Manual-Testing_corrected\Documentation\"/>
    </mc:Choice>
  </mc:AlternateContent>
  <xr:revisionPtr revIDLastSave="0" documentId="13_ncr:1_{C5ED3F50-C8F3-4F1A-A133-51C6808DBB63}" xr6:coauthVersionLast="47" xr6:coauthVersionMax="47" xr10:uidLastSave="{00000000-0000-0000-0000-000000000000}"/>
  <bookViews>
    <workbookView xWindow="-110" yWindow="-110" windowWidth="25820" windowHeight="15500" tabRatio="500" xr2:uid="{00000000-000D-0000-FFFF-FFFF00000000}"/>
  </bookViews>
  <sheets>
    <sheet name="Test Scenarios" sheetId="1" r:id="rId1"/>
    <sheet name="Test Cases" sheetId="2" r:id="rId2"/>
    <sheet name="Test Execution" sheetId="3" r:id="rId3"/>
    <sheet name="Bug Reports" sheetId="4" r:id="rId4"/>
    <sheet name="RTM" sheetId="5" r:id="rId5"/>
    <sheet name="Test Summary" sheetId="6" r:id="rId6"/>
    <sheet name="Instructions" sheetId="7" r:id="rId7"/>
  </sheets>
  <definedNames>
    <definedName name="_xlnm._FilterDatabase" localSheetId="3" hidden="1">'Bug Reports'!$A$1:$P$101</definedName>
    <definedName name="_xlnm._FilterDatabase" localSheetId="4" hidden="1">RTM!$A$1:$G$55</definedName>
    <definedName name="_xlnm._FilterDatabase" localSheetId="1" hidden="1">'Test Cases'!$A$1:$K$55</definedName>
    <definedName name="_xlnm._FilterDatabase" localSheetId="2" hidden="1">'Test Execution'!$A$1:$J$55</definedName>
    <definedName name="_xlnm._FilterDatabase" localSheetId="0" hidden="1">'Test Scenarios'!$A$1:$F$31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5" i="6" l="1"/>
  <c r="B24" i="6"/>
  <c r="B23" i="6"/>
  <c r="B22" i="6"/>
  <c r="B21" i="6"/>
  <c r="B26" i="6" s="1"/>
  <c r="B14" i="6"/>
  <c r="B13" i="6"/>
  <c r="F12" i="6"/>
  <c r="B12" i="6"/>
  <c r="B15" i="6" s="1"/>
  <c r="B18" i="6" s="1"/>
  <c r="F11" i="6"/>
  <c r="B11" i="6"/>
  <c r="B17" i="6" s="1"/>
  <c r="F10" i="6"/>
  <c r="F9" i="6"/>
  <c r="F8" i="6"/>
  <c r="F7" i="6"/>
  <c r="F6" i="6"/>
  <c r="F5" i="6"/>
  <c r="G55" i="5"/>
  <c r="F55" i="5"/>
  <c r="G54" i="5"/>
  <c r="F54" i="5"/>
  <c r="G53" i="5"/>
  <c r="F53" i="5"/>
  <c r="G52" i="5"/>
  <c r="F52" i="5"/>
  <c r="G51" i="5"/>
  <c r="F51" i="5"/>
  <c r="G50" i="5"/>
  <c r="F50" i="5"/>
  <c r="G49" i="5"/>
  <c r="F49" i="5"/>
  <c r="G48" i="5"/>
  <c r="F48" i="5"/>
  <c r="G47" i="5"/>
  <c r="F47" i="5"/>
  <c r="G46" i="5"/>
  <c r="F46" i="5"/>
  <c r="G45" i="5"/>
  <c r="F45" i="5"/>
  <c r="G44" i="5"/>
  <c r="F44" i="5"/>
  <c r="G43" i="5"/>
  <c r="F43" i="5"/>
  <c r="G42" i="5"/>
  <c r="F42" i="5"/>
  <c r="G41" i="5"/>
  <c r="F41" i="5"/>
  <c r="G40" i="5"/>
  <c r="F40" i="5"/>
  <c r="G39" i="5"/>
  <c r="F39" i="5"/>
  <c r="G38" i="5"/>
  <c r="F38" i="5"/>
  <c r="G37" i="5"/>
  <c r="F37" i="5"/>
  <c r="G36" i="5"/>
  <c r="F36" i="5"/>
  <c r="G35" i="5"/>
  <c r="F35" i="5"/>
  <c r="G34" i="5"/>
  <c r="F34" i="5"/>
  <c r="G33" i="5"/>
  <c r="F33" i="5"/>
  <c r="G32" i="5"/>
  <c r="F32" i="5"/>
  <c r="G31" i="5"/>
  <c r="F31" i="5"/>
  <c r="G30" i="5"/>
  <c r="F30" i="5"/>
  <c r="G29" i="5"/>
  <c r="F29" i="5"/>
  <c r="G28" i="5"/>
  <c r="F28" i="5"/>
  <c r="G27" i="5"/>
  <c r="F27" i="5"/>
  <c r="G26" i="5"/>
  <c r="F26" i="5"/>
  <c r="G25" i="5"/>
  <c r="F25" i="5"/>
  <c r="G24" i="5"/>
  <c r="F24" i="5"/>
  <c r="G23" i="5"/>
  <c r="F23" i="5"/>
  <c r="G22" i="5"/>
  <c r="F22" i="5"/>
  <c r="G21" i="5"/>
  <c r="F21" i="5"/>
  <c r="G20" i="5"/>
  <c r="F20" i="5"/>
  <c r="G19" i="5"/>
  <c r="F19" i="5"/>
  <c r="G18" i="5"/>
  <c r="F18" i="5"/>
  <c r="G17" i="5"/>
  <c r="F17" i="5"/>
  <c r="G16" i="5"/>
  <c r="F16" i="5"/>
  <c r="G15" i="5"/>
  <c r="F15" i="5"/>
  <c r="G14" i="5"/>
  <c r="F14" i="5"/>
  <c r="G13" i="5"/>
  <c r="F13" i="5"/>
  <c r="G12" i="5"/>
  <c r="F12" i="5"/>
  <c r="G11" i="5"/>
  <c r="F11" i="5"/>
  <c r="G10" i="5"/>
  <c r="F10" i="5"/>
  <c r="G9" i="5"/>
  <c r="F9" i="5"/>
  <c r="G8" i="5"/>
  <c r="F8" i="5"/>
  <c r="G7" i="5"/>
  <c r="F7" i="5"/>
  <c r="G6" i="5"/>
  <c r="F6" i="5"/>
  <c r="G5" i="5"/>
  <c r="F5" i="5"/>
  <c r="G4" i="5"/>
  <c r="F4" i="5"/>
  <c r="G3" i="5"/>
  <c r="F3" i="5"/>
  <c r="G2" i="5"/>
  <c r="F2" i="5"/>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B2" i="3"/>
  <c r="G10" i="6" s="1"/>
  <c r="J55" i="2"/>
  <c r="I55" i="2"/>
  <c r="J54" i="2"/>
  <c r="I54" i="2"/>
  <c r="J53" i="2"/>
  <c r="I53" i="2"/>
  <c r="J52" i="2"/>
  <c r="I52" i="2"/>
  <c r="J51" i="2"/>
  <c r="I51" i="2"/>
  <c r="J50" i="2"/>
  <c r="I50" i="2"/>
  <c r="J49" i="2"/>
  <c r="I49" i="2"/>
  <c r="J48" i="2"/>
  <c r="I48" i="2"/>
  <c r="J47" i="2"/>
  <c r="I47" i="2"/>
  <c r="J46" i="2"/>
  <c r="I46" i="2"/>
  <c r="J45" i="2"/>
  <c r="I45" i="2"/>
  <c r="J44" i="2"/>
  <c r="I44" i="2"/>
  <c r="J43" i="2"/>
  <c r="I43" i="2"/>
  <c r="J42" i="2"/>
  <c r="I42" i="2"/>
  <c r="J41" i="2"/>
  <c r="I41" i="2"/>
  <c r="J40" i="2"/>
  <c r="I40" i="2"/>
  <c r="J39" i="2"/>
  <c r="I39" i="2"/>
  <c r="J38" i="2"/>
  <c r="I38" i="2"/>
  <c r="J37" i="2"/>
  <c r="I37" i="2"/>
  <c r="J36" i="2"/>
  <c r="I36" i="2"/>
  <c r="J35" i="2"/>
  <c r="I35" i="2"/>
  <c r="J34" i="2"/>
  <c r="I34" i="2"/>
  <c r="J33" i="2"/>
  <c r="I33" i="2"/>
  <c r="J32" i="2"/>
  <c r="I32" i="2"/>
  <c r="J31" i="2"/>
  <c r="I31" i="2"/>
  <c r="J30" i="2"/>
  <c r="I30" i="2"/>
  <c r="J29" i="2"/>
  <c r="I29" i="2"/>
  <c r="J28" i="2"/>
  <c r="I28" i="2"/>
  <c r="J27" i="2"/>
  <c r="I27" i="2"/>
  <c r="J26" i="2"/>
  <c r="I26" i="2"/>
  <c r="J25" i="2"/>
  <c r="I25" i="2"/>
  <c r="J24" i="2"/>
  <c r="I24" i="2"/>
  <c r="J23" i="2"/>
  <c r="I23" i="2"/>
  <c r="J22" i="2"/>
  <c r="I22" i="2"/>
  <c r="J21" i="2"/>
  <c r="I21" i="2"/>
  <c r="J20" i="2"/>
  <c r="I20" i="2"/>
  <c r="J19" i="2"/>
  <c r="I19" i="2"/>
  <c r="J18" i="2"/>
  <c r="I18" i="2"/>
  <c r="J17" i="2"/>
  <c r="I17" i="2"/>
  <c r="J16" i="2"/>
  <c r="I16" i="2"/>
  <c r="J15" i="2"/>
  <c r="I15" i="2"/>
  <c r="J14" i="2"/>
  <c r="I14" i="2"/>
  <c r="J13" i="2"/>
  <c r="I13" i="2"/>
  <c r="J12" i="2"/>
  <c r="I12" i="2"/>
  <c r="J11" i="2"/>
  <c r="I11" i="2"/>
  <c r="J10" i="2"/>
  <c r="I10" i="2"/>
  <c r="J9" i="2"/>
  <c r="I9" i="2"/>
  <c r="J8" i="2"/>
  <c r="I8" i="2"/>
  <c r="J7" i="2"/>
  <c r="I7" i="2"/>
  <c r="J6" i="2"/>
  <c r="I6" i="2"/>
  <c r="J5" i="2"/>
  <c r="I5" i="2"/>
  <c r="J4" i="2"/>
  <c r="I4" i="2"/>
  <c r="J3" i="2"/>
  <c r="I3" i="2"/>
  <c r="J2" i="2"/>
  <c r="I2" i="2"/>
  <c r="G7" i="6" l="1"/>
  <c r="H10" i="6"/>
  <c r="J10" i="6" s="1"/>
  <c r="F13" i="6"/>
  <c r="H7" i="6"/>
  <c r="I10" i="6"/>
  <c r="I7" i="6"/>
  <c r="G5" i="6"/>
  <c r="G13" i="6" s="1"/>
  <c r="H8" i="6"/>
  <c r="H11" i="6"/>
  <c r="H5" i="6"/>
  <c r="H13" i="6" s="1"/>
  <c r="I8" i="6"/>
  <c r="I11" i="6"/>
  <c r="B16" i="6"/>
  <c r="I5" i="6"/>
  <c r="H9" i="6"/>
  <c r="H12" i="6"/>
  <c r="I6" i="6"/>
  <c r="I12" i="6"/>
  <c r="G8" i="6"/>
  <c r="J8" i="6" s="1"/>
  <c r="G9" i="6"/>
  <c r="G12" i="6"/>
  <c r="J12" i="6" s="1"/>
  <c r="H6" i="6"/>
  <c r="G11" i="6"/>
  <c r="J11" i="6" s="1"/>
  <c r="G6" i="6"/>
  <c r="J6" i="6" s="1"/>
  <c r="I9" i="6"/>
  <c r="I13" i="6" l="1"/>
  <c r="J9" i="6"/>
  <c r="J5" i="6"/>
  <c r="J7" i="6"/>
  <c r="J13" i="6" l="1"/>
</calcChain>
</file>

<file path=xl/sharedStrings.xml><?xml version="1.0" encoding="utf-8"?>
<sst xmlns="http://schemas.openxmlformats.org/spreadsheetml/2006/main" count="1238" uniqueCount="539">
  <si>
    <t>Scenario ID</t>
  </si>
  <si>
    <t>Module</t>
  </si>
  <si>
    <t>Scenario</t>
  </si>
  <si>
    <t>Priority</t>
  </si>
  <si>
    <t>Testing Type</t>
  </si>
  <si>
    <t>Expected Outcome</t>
  </si>
  <si>
    <t>TS_001</t>
  </si>
  <si>
    <t>Header &amp; Navigation</t>
  </si>
  <si>
    <t>Verify the home page loads and all main sections are present</t>
  </si>
  <si>
    <t>High</t>
  </si>
  <si>
    <t>Smoke; Functional</t>
  </si>
  <si>
    <t>Home page loads without errors and shows header, catalogue, brand section and contact details.</t>
  </si>
  <si>
    <t>TS_002</t>
  </si>
  <si>
    <t>Verify brand logo and name are displayed in the header</t>
  </si>
  <si>
    <t>Medium</t>
  </si>
  <si>
    <t>UI</t>
  </si>
  <si>
    <t>Logo mark and business name are visible, aligned and not distorted.</t>
  </si>
  <si>
    <t>TS_003</t>
  </si>
  <si>
    <t>Verify Home, Products and Contact navigation links</t>
  </si>
  <si>
    <t>Functional; Sanity</t>
  </si>
  <si>
    <t>Each link scrolls to its section on the home page.</t>
  </si>
  <si>
    <t>TS_004</t>
  </si>
  <si>
    <t>Verify the header phone link</t>
  </si>
  <si>
    <t>Functional</t>
  </si>
  <si>
    <t>Displayed number matches the tel: link and triggers a call action.</t>
  </si>
  <si>
    <t>TS_005</t>
  </si>
  <si>
    <t>Verify the header WhatsApp link</t>
  </si>
  <si>
    <t>WhatsApp opens with the business number and the pre-filled quote message.</t>
  </si>
  <si>
    <t>TS_006</t>
  </si>
  <si>
    <t>Product Catalogue</t>
  </si>
  <si>
    <t>Verify catalogue heading and introduction text</t>
  </si>
  <si>
    <t>'Our Products' heading and introductory text are displayed correctly.</t>
  </si>
  <si>
    <t>TS_007</t>
  </si>
  <si>
    <t>Verify the total number of products and product names listed under 'All'</t>
  </si>
  <si>
    <t>Functional; Positive</t>
  </si>
  <si>
    <t>21 unique products are listed and match the product master list.</t>
  </si>
  <si>
    <t>TS_008</t>
  </si>
  <si>
    <t>Verify the content of each product card</t>
  </si>
  <si>
    <t>UI; Functional</t>
  </si>
  <si>
    <t>Every card shows category, name, specification line and a View Product link.</t>
  </si>
  <si>
    <t>TS_009</t>
  </si>
  <si>
    <t>Verify View Product opens the correct detail page (one product per category)</t>
  </si>
  <si>
    <t>Sanity; Functional</t>
  </si>
  <si>
    <t>Correct detail page opens for the selected product.</t>
  </si>
  <si>
    <t>TS_010</t>
  </si>
  <si>
    <t>Verify all 21 View Product links are valid</t>
  </si>
  <si>
    <t>Regression; Functional</t>
  </si>
  <si>
    <t>All links open their own detail page; none are broken.</t>
  </si>
  <si>
    <t>TS_011</t>
  </si>
  <si>
    <t>Category Filter</t>
  </si>
  <si>
    <t>Verify default filter state on page load</t>
  </si>
  <si>
    <t>'All' is active and all 21 products are displayed.</t>
  </si>
  <si>
    <t>TS_012</t>
  </si>
  <si>
    <t>Verify each category filter displays only its own products</t>
  </si>
  <si>
    <t>Functional; Equivalence Partitioning</t>
  </si>
  <si>
    <t>Each category button shows exactly the products belonging to that category.</t>
  </si>
  <si>
    <t>TS_013</t>
  </si>
  <si>
    <t>Verify switching between filters repeatedly</t>
  </si>
  <si>
    <t>Functional; Regression</t>
  </si>
  <si>
    <t>Results update correctly after every click with no stale or missing cards.</t>
  </si>
  <si>
    <t>TS_014</t>
  </si>
  <si>
    <t>Verify the active filter is visually indicated</t>
  </si>
  <si>
    <t>Only the selected filter appears active.</t>
  </si>
  <si>
    <t>TS_015</t>
  </si>
  <si>
    <t>Verify filter state after page refresh and after returning from a product page</t>
  </si>
  <si>
    <t>Usability; Negative</t>
  </si>
  <si>
    <t>Page stays in a consistent state (highlighted filter matches displayed products).</t>
  </si>
  <si>
    <t>TS_016</t>
  </si>
  <si>
    <t>Product Detail</t>
  </si>
  <si>
    <t>Verify product detail page content (one product per category)</t>
  </si>
  <si>
    <t>Name, categories, badges, description, Material, Size, MOQ and Subcategory are displayed.</t>
  </si>
  <si>
    <t>TS_017</t>
  </si>
  <si>
    <t>Verify product data consistency between catalogue card and detail page</t>
  </si>
  <si>
    <t>Name, subcategory, material and size on the card match the detail page.</t>
  </si>
  <si>
    <t>TS_018</t>
  </si>
  <si>
    <t>Verify status badges on detail pages</t>
  </si>
  <si>
    <t>Low</t>
  </si>
  <si>
    <t>Featured / In Stock / Custom Printing badges are displayed and consistent with the catalogue.</t>
  </si>
  <si>
    <t>TS_019</t>
  </si>
  <si>
    <t>Verify back navigation from a product detail page</t>
  </si>
  <si>
    <t>Functional; Usability</t>
  </si>
  <si>
    <t>'Back to products' and the browser Back button return the user to the catalogue.</t>
  </si>
  <si>
    <t>TS_020</t>
  </si>
  <si>
    <t>Verify header navigation links on product detail pages</t>
  </si>
  <si>
    <t>Home, Products and Contact links lead to the correct home page locations.</t>
  </si>
  <si>
    <t>TS_021</t>
  </si>
  <si>
    <t>Enquiry Links</t>
  </si>
  <si>
    <t>Verify WhatsApp Quote opens chat with a product-specific message</t>
  </si>
  <si>
    <t>WhatsApp opens with the business number and a message containing the correct product name.</t>
  </si>
  <si>
    <t>TS_022</t>
  </si>
  <si>
    <t>Verify Call Now and phone number consistency on product pages</t>
  </si>
  <si>
    <t>Call Now triggers a call action to the correct number.</t>
  </si>
  <si>
    <t>TS_023</t>
  </si>
  <si>
    <t>Contact &amp; Footer</t>
  </si>
  <si>
    <t>Verify contact section details and footer text</t>
  </si>
  <si>
    <t>Functional; UI</t>
  </si>
  <si>
    <t>Phone, email, address, working hours and copyright text are displayed correctly.</t>
  </si>
  <si>
    <t>TS_024</t>
  </si>
  <si>
    <t>Verify the Instagram link</t>
  </si>
  <si>
    <t>Link opens the business Instagram profile.</t>
  </si>
  <si>
    <t>TS_025</t>
  </si>
  <si>
    <t>Verify the email address behaviour</t>
  </si>
  <si>
    <t>Email address is displayed and opens the mail client when clicked (or is recorded as an observation if not clickable).</t>
  </si>
  <si>
    <t>TS_026</t>
  </si>
  <si>
    <t>Responsive &amp; Compatibility</t>
  </si>
  <si>
    <t>Verify layout and usability on mobile, tablet and desktop viewports</t>
  </si>
  <si>
    <t>Responsive; UI</t>
  </si>
  <si>
    <t>Layout adapts without horizontal scrolling, overlap or unreadable text.</t>
  </si>
  <si>
    <t>TS_027</t>
  </si>
  <si>
    <t>Verify core flows in Firefox and Edge</t>
  </si>
  <si>
    <t>Compatibility; Smoke</t>
  </si>
  <si>
    <t>Core flows behave the same as in the primary browser.</t>
  </si>
  <si>
    <t>TS_028</t>
  </si>
  <si>
    <t>Verify layout around responsive breakpoints</t>
  </si>
  <si>
    <t>Responsive; Boundary Value Analysis</t>
  </si>
  <si>
    <t>Layout switches cleanly at breakpoint boundaries (B-1, B, B+1).</t>
  </si>
  <si>
    <t>TS_029</t>
  </si>
  <si>
    <t>URL Handling &amp; Usability</t>
  </si>
  <si>
    <t>Verify handling of invalid URLs and direct (deep) links</t>
  </si>
  <si>
    <t>Negative; Functional</t>
  </si>
  <si>
    <t>Invalid URLs are handled gracefully; valid deep links load correctly.</t>
  </si>
  <si>
    <t>TS_030</t>
  </si>
  <si>
    <t>Verify content, branding and URL consistency across pages</t>
  </si>
  <si>
    <t>Usability; UI</t>
  </si>
  <si>
    <t>Brand name, spelling, phone numbers and URL pattern are consistent.</t>
  </si>
  <si>
    <t>Test Case ID</t>
  </si>
  <si>
    <t>Test Case</t>
  </si>
  <si>
    <t>Precondition</t>
  </si>
  <si>
    <t>Test Steps</t>
  </si>
  <si>
    <t>Test Data</t>
  </si>
  <si>
    <t>Expected Result</t>
  </si>
  <si>
    <t>Actual Result</t>
  </si>
  <si>
    <t>Status</t>
  </si>
  <si>
    <t>TC_001</t>
  </si>
  <si>
    <t>Verify the home page loads successfully</t>
  </si>
  <si>
    <t>Latest Google Chrome installed; stable internet connection.</t>
  </si>
  <si>
    <t>1. Open Google Chrome.
2. Enter the URL in the address bar and press Enter.
3. Wait for the page to finish loading.
4. Note the browser tab title.</t>
  </si>
  <si>
    <t>URL: https://yashart.netlify.app/</t>
  </si>
  <si>
    <t>Page loads without errors or a blank screen. Tab title is 'YASHART — Screen Printing'. Header, product catalogue and contact details are visible.</t>
  </si>
  <si>
    <t>TC_002</t>
  </si>
  <si>
    <t>Verify all main sections are present on the home page</t>
  </si>
  <si>
    <t>Latest Google Chrome installed; stable internet connection; home page opened.</t>
  </si>
  <si>
    <t>1. Scroll slowly from the top to the bottom of the home page.
2. Note every section you pass.
3. Read the text of the brand section (below the catalogue).
4. Check the bottom of the page.</t>
  </si>
  <si>
    <t>Expected brand tagline: 'Printing &amp; Packaging Solutions Under One Roof'</t>
  </si>
  <si>
    <t>Header with navigation, 'Our Products' catalogue with category filters and cards, the brand section with its tagline, Contact section with working hours and the copyright line are all present. No section is missing, overlapping or cut off.</t>
  </si>
  <si>
    <t>TC_003</t>
  </si>
  <si>
    <t>Verify the brand logo and name in the header</t>
  </si>
  <si>
    <t>1. Look at the top-left of the header at 100% browser zoom.
2. Check the logo mark and the business name text.
3. Check alignment against the navigation links.</t>
  </si>
  <si>
    <t>Browser zoom: 100%</t>
  </si>
  <si>
    <t>A 'Y' logo mark and the name 'YASHART' with 'Screen Printing' are visible, aligned, readable and not cropped or stretched.</t>
  </si>
  <si>
    <t>TC_004</t>
  </si>
  <si>
    <t>Verify the 'Home' navigation link</t>
  </si>
  <si>
    <t>Home page loaded and scrolled down to the Contact section.</t>
  </si>
  <si>
    <t>1. Scroll down to the Contact section.
2. Click 'Home' in the header.
3. Observe the scroll position and the address bar.</t>
  </si>
  <si>
    <t>Link: Home</t>
  </si>
  <si>
    <t>Page scrolls back to the top (home section). Address bar shows '#home'. No error or page break.</t>
  </si>
  <si>
    <t>TC_005</t>
  </si>
  <si>
    <t>Verify the 'Products' navigation link</t>
  </si>
  <si>
    <t>Home page loaded at the top.</t>
  </si>
  <si>
    <t>1. Click 'Products' in the header.
2. Observe where the page scrolls.
3. Check the address bar.</t>
  </si>
  <si>
    <t>Link: Products</t>
  </si>
  <si>
    <t>Page scrolls to the 'Our Products' section; the heading and category filters are visible (not hidden behind the header). Address bar shows '#products'.</t>
  </si>
  <si>
    <t>TC_006</t>
  </si>
  <si>
    <t>Verify the 'Contact' navigation link</t>
  </si>
  <si>
    <t>1. Click 'Contact' in the header.
2. Observe where the page scrolls.
3. Check the address bar.</t>
  </si>
  <si>
    <t>Link: Contact</t>
  </si>
  <si>
    <t>Page scrolls to the Contact section and the contact details are visible. Address bar shows '#contact'.</t>
  </si>
  <si>
    <t>TC_007</t>
  </si>
  <si>
    <t>Verify the phone link in the header</t>
  </si>
  <si>
    <t>Latest Google Chrome installed; stable internet connection; home page opened. Do NOT send any WhatsApp message or place any call - only verify what opens.</t>
  </si>
  <si>
    <t>1. Note the phone number text in the header.
2. Hover over it and read the link shown in the browser status bar.
3. Click the phone link.
4. Observe the prompt or app that opens. Cancel without calling.</t>
  </si>
  <si>
    <t>Displayed number: +91 93235 74124</t>
  </si>
  <si>
    <t>Displayed number is +91 93235 74124. Link target is tel:+919323574124. Clicking triggers a call prompt / dialer (or 'open app' prompt on desktop). No error page.</t>
  </si>
  <si>
    <t>TC_008</t>
  </si>
  <si>
    <t>Verify the WhatsApp link in the header</t>
  </si>
  <si>
    <t>1. Click 'WhatsApp' in the header.
2. Observe the page or app that opens.
3. Check the recipient number and the pre-filled message text.
4. Close it without sending anything.</t>
  </si>
  <si>
    <t>Expected message: Hi Yashart, I would like a quote.</t>
  </si>
  <si>
    <t>WhatsApp (web or app) opens a chat with +91 93235 74124 with the message 'Hi Yashart, I would like a quote.' pre-filled. The message is not sent automatically.</t>
  </si>
  <si>
    <t>TC_009</t>
  </si>
  <si>
    <t>1. Click 'Products' in the header.
2. Read the label, heading and the introduction paragraph.
3. Check for spelling or punctuation mistakes.</t>
  </si>
  <si>
    <t>Expected heading: Our Products</t>
  </si>
  <si>
    <t>'Catalogue' label and 'Our Products' heading are shown. Intro text reads: 'Browse our full range and request a custom quote for any product — bulk-friendly pricing and custom printing available.' No typos.</t>
  </si>
  <si>
    <t>TC_010</t>
  </si>
  <si>
    <t>Verify 21 product cards are displayed under 'All'</t>
  </si>
  <si>
    <t>1. Click 'Products' in the header.
2. Confirm the 'All' filter is selected.
3. Scroll through the product grid.
4. Count the cards using a tally.</t>
  </si>
  <si>
    <t>Expected count: 21</t>
  </si>
  <si>
    <t>Exactly 21 product cards are displayed.</t>
  </si>
  <si>
    <t>TC_011</t>
  </si>
  <si>
    <t>Verify product names and specification lines against the product master list</t>
  </si>
  <si>
    <t>1. Open Test-Data/YASHART_Product_Catalogue_Data.csv.
2. With 'All' selected, tick off each product in the CSV against the page.
3. Compare the name, category label and specification line of every card.
4. Note any missing, duplicate or mismatched product.</t>
  </si>
  <si>
    <t>File: YASHART_Product_Catalogue_Data.csv (21 products)</t>
  </si>
  <si>
    <t>All 21 products appear exactly once. Names, category labels and specification lines match the master list. No truncated or duplicated text.</t>
  </si>
  <si>
    <t>TC_012</t>
  </si>
  <si>
    <t>Verify the structure of every product card</t>
  </si>
  <si>
    <t>1. With 'All' selected, inspect each card one by one.
2. Check for: thumbnail label, category, product name, specification line, 'View Product' link.
3. Check cards that show a 'Featured' tag.
4. Check text alignment and card height consistency.</t>
  </si>
  <si>
    <t>All 21 cards</t>
  </si>
  <si>
    <t>Every card shows all elements with no empty field, overflow or overlap. The 'Featured' tag, where shown, is readable and does not overlap other text.</t>
  </si>
  <si>
    <t>TC_013</t>
  </si>
  <si>
    <t>Verify 'View Product' opens the correct detail page (one product per category)</t>
  </si>
  <si>
    <t>1. Click 'View Product' on the first product in the test data.
2. Check the page heading and browser tab title.
3. Press the browser Back button.
4. Repeat for each product in the test data.</t>
  </si>
  <si>
    <t>Paper Cup 250 ml; Royal Gold Foil Wedding Card; Spot UV Premium Card; Product Label Sticker Roll; Printed Paper Carry Bag; Food Parcel Container 500 ml</t>
  </si>
  <si>
    <t>For each product, the matching detail page opens and its heading / tab title equals the card name. No 404 or blank page. Browser Back returns to the home page.</t>
  </si>
  <si>
    <t>TC_014</t>
  </si>
  <si>
    <t>Verify all 21 'View Product' links are working</t>
  </si>
  <si>
    <t>1. Using the master list, click 'View Product' for card 1.
2. Confirm the correct product page opens (heading matches).
3. Return to the catalogue.
4. Repeat for all 21 products and record any failure in Comments.</t>
  </si>
  <si>
    <t>All 21 products in the master list</t>
  </si>
  <si>
    <t>All 21 links open their own detail page. No broken link, wrong product or blank page.</t>
  </si>
  <si>
    <t>TC_015</t>
  </si>
  <si>
    <t>Verify 'All' is the default filter on page load</t>
  </si>
  <si>
    <t>1. Open the home page in a fresh tab.
2. Go to the 'Our Products' section.
3. Observe which filter is highlighted.
4. Count the cards.</t>
  </si>
  <si>
    <t>'All' is highlighted by default and 21 products are displayed.</t>
  </si>
  <si>
    <t>TC_016</t>
  </si>
  <si>
    <t>Verify the 'Disposable Items' filter</t>
  </si>
  <si>
    <t>1. Go to the 'Our Products' section.
2. Click 'Disposable Items'.
3. Count the cards and note every product name.</t>
  </si>
  <si>
    <t>Filter: Disposable Items</t>
  </si>
  <si>
    <t>Exactly 4 products: Paper Cup 250 ml, Paper Cup 100 ml, Paper Cup 150 ml, Paper Plate 7 inch. No product from another category appears.</t>
  </si>
  <si>
    <t>TC_017</t>
  </si>
  <si>
    <t>Verify the 'Wedding Cards' filter</t>
  </si>
  <si>
    <t>1. Go to the 'Our Products' section.
2. Click 'Wedding Cards'.
3. Count the cards and note every product name.</t>
  </si>
  <si>
    <t>Filter: Wedding Cards</t>
  </si>
  <si>
    <t>Exactly 4 products: Modern Minimal Wedding Card, Royal Gold Foil Wedding Card, Traditional Red &amp; Gold Card, Classic Ivory Wedding Invite.</t>
  </si>
  <si>
    <t>TC_018</t>
  </si>
  <si>
    <t>Verify the 'Visiting Cards' filter</t>
  </si>
  <si>
    <t>1. Go to the 'Our Products' section.
2. Click 'Visiting Cards'.
3. Count the cards and note every product name.</t>
  </si>
  <si>
    <t>Filter: Visiting Cards</t>
  </si>
  <si>
    <t>Exactly 4 products: Spot UV Premium Card, Matte Finish Visiting Card, Textured Kraft Business Card, Glossy Laminated Visiting Card.</t>
  </si>
  <si>
    <t>TC_019</t>
  </si>
  <si>
    <t>Verify the 'Stickers &amp; Labels' filter</t>
  </si>
  <si>
    <t>1. Go to the 'Our Products' section.
2. Click 'Stickers &amp; Labels'.
3. Count the cards and note every product name.</t>
  </si>
  <si>
    <t>Filter: Stickers &amp; Labels</t>
  </si>
  <si>
    <t>Exactly 3 products: Product Label Sticker Roll, Barcode / Price Label, Vinyl Waterproof Sticker.</t>
  </si>
  <si>
    <t>TC_020</t>
  </si>
  <si>
    <t>Verify the 'Carry Bags' filter</t>
  </si>
  <si>
    <t>1. Go to the 'Our Products' section.
2. Click 'Carry Bags'.
3. Count the cards and note every product name.</t>
  </si>
  <si>
    <t>Filter: Carry Bags</t>
  </si>
  <si>
    <t>Exactly 3 products: Printed Paper Carry Bag, Boutique Handle Bag, Non-Woven D-Cut Bag.</t>
  </si>
  <si>
    <t>TC_021</t>
  </si>
  <si>
    <t>Verify the 'Hotel Parcel Containers' filter</t>
  </si>
  <si>
    <t>1. Go to the 'Our Products' section.
2. Click 'Hotel Parcel Containers'.
3. Count the cards and note every product name.</t>
  </si>
  <si>
    <t>Filter: Hotel Parcel Containers</t>
  </si>
  <si>
    <t>Exactly 3 products: Food Parcel Container 500 ml, Food Parcel Container 750 ml, Aluminium Foil Container 450 ml.</t>
  </si>
  <si>
    <t>TC_022</t>
  </si>
  <si>
    <t>Verify switching between filters consecutively</t>
  </si>
  <si>
    <t>1. Click 'Wedding Cards' and note the cards.
2. Click 'Carry Bags' and note the cards.
3. Click 'Stickers &amp; Labels' and note the cards.
4. Click 'All' and count the cards.
5. Click 'Disposable Items', then 'All' again, and count the cards.</t>
  </si>
  <si>
    <t>Sequence: Wedding Cards &gt; Carry Bags &gt; Stickers &amp; Labels &gt; All &gt; Disposable Items &gt; All</t>
  </si>
  <si>
    <t>After every click only that category's products are shown (no leftover cards from the previous filter). Each 'All' click restores all 21 cards. No page error or flicker that leaves the grid empty.</t>
  </si>
  <si>
    <t>TC_023</t>
  </si>
  <si>
    <t>Verify the active filter is visually highlighted</t>
  </si>
  <si>
    <t>1. Note the style of the filter buttons on page load.
2. Click each filter in turn.
3. After each click check which button looks active.
4. Check the text is readable (contrast) in active and inactive states.</t>
  </si>
  <si>
    <t>All 7 filter buttons</t>
  </si>
  <si>
    <t>Only the selected filter button appears active at any time, and it is clearly distinguishable from the others. Button text is readable.</t>
  </si>
  <si>
    <t>TC_024</t>
  </si>
  <si>
    <t>Verify filter state after refresh and after returning from a product page</t>
  </si>
  <si>
    <t>1. Click 'Carry Bags', then refresh the page (F5) and note the highlighted filter and the cards.
2. Click 'Wedding Cards', open any product, then click 'Back to products' and note the highlighted filter and cards.
3. Repeat the second step but return using the browser Back button instead.</t>
  </si>
  <si>
    <t>Filters: Carry Bags, Wedding Cards</t>
  </si>
  <si>
    <t>TC_025</t>
  </si>
  <si>
    <t>Verify detail page content - Food Parcel Container 500 ml</t>
  </si>
  <si>
    <t>1. Open the product URL (or open it via the catalogue).
2. Read the heading, category tags, badges and description.
3. Read the Material, Size, MOQ and Subcategory values.
4. Check that the WhatsApp Quote, Call Now and Back to products controls are present.</t>
  </si>
  <si>
    <t>URL: https://yashart.netlify.app/products/food-parcel-container-500-ml</t>
  </si>
  <si>
    <t>Heading 'Food Parcel Container 500 ml'; categories 'Round Containers' and 'Hotel Parcel Containers'; badges Featured, In Stock, Custom Printing; description present; Material Food-grade PP; Size 500 ml; MOQ 500 pcs; Subcategory Round Containers; all three controls present.</t>
  </si>
  <si>
    <t>TC_026</t>
  </si>
  <si>
    <t>Verify detail page content - Royal Gold Foil Wedding Card</t>
  </si>
  <si>
    <t>1. Open the product URL (or open it via the catalogue).
2. Read the heading, category tags, badges and description.
3. Read the Material, Size, MOQ and Subcategory values.</t>
  </si>
  <si>
    <t>URL: https://yashart.netlify.app/products/royal-gold-foil-wedding-card</t>
  </si>
  <si>
    <t>Heading 'Royal Gold Foil Wedding Card'; categories 'Premium Cards' and 'Wedding Cards'; badges Featured, In Stock, Custom Printing; Material 300 GSM Art Card; Size 6x9 inch; MOQ 100 pcs; Subcategory Premium Cards.</t>
  </si>
  <si>
    <t>TC_027</t>
  </si>
  <si>
    <t>Verify detail page content - Aluminium Foil Container 450 ml</t>
  </si>
  <si>
    <t>1. Open the product via the catalogue (Hotel Parcel Containers filter) and note the URL.
2. Read the heading, category tags, badges and description.
3. Read the Material, Size, MOQ and Subcategory values.</t>
  </si>
  <si>
    <t>URL: https://yashart.netlify.app/products/aluminium-foil-container-450-ml.html</t>
  </si>
  <si>
    <t>Page loads. Heading 'Aluminium Foil Container 450 ml'; categories 'Foil Containers' and 'Hotel Parcel Containers'; Material Aluminium; Size 450 ml; MOQ 500 pcs; Subcategory Foil Containers; description present.</t>
  </si>
  <si>
    <t>TC_028</t>
  </si>
  <si>
    <t>Verify detail page content - Printed Paper Carry Bag</t>
  </si>
  <si>
    <t>1. Open the product via the Carry Bags filter.
2. Read all fields on the page.
3. Compare Material and Size with the catalogue card.</t>
  </si>
  <si>
    <t>Card line: Paper Bags · 150 GSM Kraft · 10x14 inch</t>
  </si>
  <si>
    <t>Detail page shows heading, Carry Bags category, Subcategory 'Paper Bags', Material '150 GSM Kraft', Size '10x14 inch', a MOQ value, badges and a description. Record the MOQ shown.</t>
  </si>
  <si>
    <t>TC_029</t>
  </si>
  <si>
    <t>Verify detail page content - Product Label Sticker Roll</t>
  </si>
  <si>
    <t>1. Open the product via the Stickers &amp; Labels filter.
2. Read all fields on the page.
3. Check how 'Size' is displayed.</t>
  </si>
  <si>
    <t>Card line: Roll Labels · Chromo paper · Custom</t>
  </si>
  <si>
    <t>Detail page shows Subcategory 'Roll Labels', Material 'Chromo paper', Size 'Custom', a MOQ value, badges and a description. 'Custom' is displayed sensibly (no blank or placeholder text).</t>
  </si>
  <si>
    <t>TC_030</t>
  </si>
  <si>
    <t>Verify detail page content - Matte Finish Visiting Card</t>
  </si>
  <si>
    <t>1. Open the product via the Visiting Cards filter.
2. Read all fields on the page.
3. Compare with the catalogue card.</t>
  </si>
  <si>
    <t>Card line: Matte · 350 GSM Art · 3.5x2 inch</t>
  </si>
  <si>
    <t>Detail page shows Subcategory 'Matte', Material '350 GSM Art', Size '3.5x2 inch', a MOQ value, badges and a description.</t>
  </si>
  <si>
    <t>TC_031</t>
  </si>
  <si>
    <t>Verify detail page content - Paper Cup 250 ml</t>
  </si>
  <si>
    <t>1. Open the product via the Disposable Items filter.
2. Read all fields on the page.
3. Compare with the catalogue card.</t>
  </si>
  <si>
    <t>Card line: Paper Cups · Food-grade paper · 250 ml</t>
  </si>
  <si>
    <t>Detail page shows Subcategory 'Paper Cups', Material 'Food-grade paper', Size '250 ml', a MOQ value, badges and a description.</t>
  </si>
  <si>
    <t>TC_032</t>
  </si>
  <si>
    <t>Verify card data matches detail page data for all products</t>
  </si>
  <si>
    <t>1. Open the master list CSV.
2. For each product, open its detail page.
3. Compare name, subcategory, material and size between the card (master list) and the detail page.
4. Record mismatches in Comments.</t>
  </si>
  <si>
    <t>All 21 products</t>
  </si>
  <si>
    <t>Name, subcategory, material and size are identical on the card and the detail page for every product.</t>
  </si>
  <si>
    <t>TC_033</t>
  </si>
  <si>
    <t>TC_034</t>
  </si>
  <si>
    <t>Verify the 'Back to products' link</t>
  </si>
  <si>
    <t>Any product detail page is open.</t>
  </si>
  <si>
    <t>1. Open any product detail page.
2. Click 'Back to products'.
3. Observe the page that loads and where it scrolls.</t>
  </si>
  <si>
    <t>Any product</t>
  </si>
  <si>
    <t>User is taken to the home page with the product catalogue visible. No 404 or blank page.</t>
  </si>
  <si>
    <t>TC_035</t>
  </si>
  <si>
    <t>Verify the browser Back button from a product detail page</t>
  </si>
  <si>
    <t>1. From the home page click 'View Product' on any card.
2. Click the browser Back button.
3. Observe the page, scroll position and active filter.</t>
  </si>
  <si>
    <t>Home page is shown again and remains usable (filters and cards work). Note the scroll position and filter state as observations.</t>
  </si>
  <si>
    <t>TC_036</t>
  </si>
  <si>
    <t>Verify header navigation links on a product detail page</t>
  </si>
  <si>
    <t>1. Click 'Home' in the header and note where you land.
2. Return to the product page and click 'Products'.
3. Return again and click 'Contact'.</t>
  </si>
  <si>
    <t>Any product page</t>
  </si>
  <si>
    <t>Each link loads the home page; 'Products' and 'Contact' lead to the 'Our Products' and Contact sections respectively. No 404.</t>
  </si>
  <si>
    <t>TC_037</t>
  </si>
  <si>
    <t>Verify 'WhatsApp Quote' - Food Parcel Container 500 ml</t>
  </si>
  <si>
    <t>Product detail page open. Do NOT send any WhatsApp message or place any call - only verify what opens.</t>
  </si>
  <si>
    <t>1. Open the product page.
2. Click 'WhatsApp Quote'.
3. Check the recipient number and the pre-filled message.
4. Close without sending.</t>
  </si>
  <si>
    <t>Product: Food Parcel Container 500 ml</t>
  </si>
  <si>
    <t>WhatsApp opens a chat with +91 93235 74124 with the message 'Hi, I am interested in a quote for Food Parcel Container 500 ml' pre-filled. Message is not sent automatically.</t>
  </si>
  <si>
    <t>TC_038</t>
  </si>
  <si>
    <t>Verify 'WhatsApp Quote' - Royal Gold Foil Wedding Card</t>
  </si>
  <si>
    <t>Product: Royal Gold Foil Wedding Card</t>
  </si>
  <si>
    <t>Chat opens with +91 93235 74124 and the message 'Hi, I am interested in a quote for Royal Gold Foil Wedding Card' pre-filled.</t>
  </si>
  <si>
    <t>TC_039</t>
  </si>
  <si>
    <t>Verify 'WhatsApp Quote' message uses the correct product name on other categories</t>
  </si>
  <si>
    <t>Product detail pages open. Do NOT send any WhatsApp message or place any call - only verify what opens.</t>
  </si>
  <si>
    <t>1. Open each product in the test data.
2. Click 'WhatsApp Quote'.
3. Compare the product name in the pre-filled message with the page heading.
4. Close without sending.</t>
  </si>
  <si>
    <t>Printed Paper Carry Bag; Product Label Sticker Roll; Matte Finish Visiting Card; Paper Cup 250 ml; Aluminium Foil Container 450 ml</t>
  </si>
  <si>
    <t>For every product the pre-filled message contains that product's exact name (no name from another product).</t>
  </si>
  <si>
    <t>TC_040</t>
  </si>
  <si>
    <t>Verify 'WhatsApp Quote' message with special characters in the product name</t>
  </si>
  <si>
    <t>1. Open each product in the test data.
2. Click 'WhatsApp Quote'.
3. Read the full pre-filled message carefully, including special characters.
4. Close without sending.</t>
  </si>
  <si>
    <t>Traditional Red &amp; Gold Card; Barcode / Price Label; Non-Woven D-Cut Bag</t>
  </si>
  <si>
    <t>The full product name appears intact in the message, including '&amp;', '/' and '-'. The text is not cut off at a special character.</t>
  </si>
  <si>
    <t>TC_041</t>
  </si>
  <si>
    <t>Verify the 'Call Now' button on a product page</t>
  </si>
  <si>
    <t>1. Open any product page.
2. Hover over 'Call Now' and read the link in the status bar.
3. Click 'Call Now'.
4. Observe the prompt and cancel.</t>
  </si>
  <si>
    <t>Expected: tel:+919323574124</t>
  </si>
  <si>
    <t>Link target is tel:+919323574124; clicking triggers a call prompt / dialer. No error page.</t>
  </si>
  <si>
    <t>TC_042</t>
  </si>
  <si>
    <t>Verify the phone number is consistent across pages and links</t>
  </si>
  <si>
    <t>1. Note the number in the home page header, WhatsApp link (wa.me/...) and Contact section.
2. Open any product page and note the number in the header, 'WhatsApp Quote' link and 'Call Now' link.
3. Compare all values.</t>
  </si>
  <si>
    <t>Expected number: +91 93235 74124 (919323574124)</t>
  </si>
  <si>
    <t>The same number appears in every location (display text, tel: link and wa.me link).</t>
  </si>
  <si>
    <t>TC_043</t>
  </si>
  <si>
    <t>Verify the contact details</t>
  </si>
  <si>
    <t>1. Click 'Contact' in the header.
2. Read the phone, email, address and working hours.
3. Check spelling and formatting.</t>
  </si>
  <si>
    <t>Phone: +91 93235 74124 | Email: yashart139@gmail.com | Address: Abid rolling shutter, Shop no.7, Kunchikorve Nagar, 60 ft road, Dharavi - 400017 | Hours: Morning 11 to Evening 6</t>
  </si>
  <si>
    <t>All four details are displayed exactly as in the test data, readable and without typos.</t>
  </si>
  <si>
    <t>TC_044</t>
  </si>
  <si>
    <t>Verify the footer copyright text</t>
  </si>
  <si>
    <t>1. Scroll to the very bottom of the page.
2. Read the footer text.</t>
  </si>
  <si>
    <t>Expected: © 2026 YASHART. All rights reserved.</t>
  </si>
  <si>
    <t>Copyright line is displayed correctly at the bottom of the page.</t>
  </si>
  <si>
    <t>TC_045</t>
  </si>
  <si>
    <t>1. Go to the Contact section.
2. Click 'Follow on Instagram'.
3. Observe the page that opens.</t>
  </si>
  <si>
    <t>Handle: yashart_214</t>
  </si>
  <si>
    <t>Instagram opens the profile 'yashart_214' (a login prompt is acceptable). No 404 or wrong profile.</t>
  </si>
  <si>
    <t>TC_046</t>
  </si>
  <si>
    <t>1. Go to the Contact section.
2. Hover over the email address and check the link target.
3. Click the email address.
4. Observe the result.</t>
  </si>
  <si>
    <t>Email: yashart139@gmail.com</t>
  </si>
  <si>
    <t>Email address is displayed correctly. Clicking opens the default mail client with To: yashart139@gmail.com. If it is not clickable, record this as an observation.</t>
  </si>
  <si>
    <t>TC_047</t>
  </si>
  <si>
    <t>Verify layout and usability on a mobile viewport</t>
  </si>
  <si>
    <t>Chrome DevTools device toolbar or a real mobile phone available.</t>
  </si>
  <si>
    <t>1. Set the viewport size (or use the phone) and load the home page.
2. Scroll through the whole page.
3. Tap each filter and open one product page.
4. Check header links, WhatsApp Quote and Call Now are reachable and tappable.</t>
  </si>
  <si>
    <t>Viewports: 360x640 and 390x844</t>
  </si>
  <si>
    <t>No horizontal scrolling. Text readable without zooming. Header controls usable. Cards stack legibly. Filter buttons and links are easy to tap. Images are not distorted.</t>
  </si>
  <si>
    <t>TC_048</t>
  </si>
  <si>
    <t>Verify layout on tablet and desktop viewports</t>
  </si>
  <si>
    <t>Chrome DevTools responsive mode available.</t>
  </si>
  <si>
    <t>1. Set each viewport size and load the home page.
2. Scroll through the whole page.
3. Open one product page at each size.</t>
  </si>
  <si>
    <t>Viewports: 768x1024, 1366x768, 1920x1080</t>
  </si>
  <si>
    <t>Layout adapts sensibly at each size: no overlap, cut-off text, or awkward stretching. Grid columns adjust smoothly.</t>
  </si>
  <si>
    <t>TC_049</t>
  </si>
  <si>
    <t>Verify core flows in Mozilla Firefox (smoke)</t>
  </si>
  <si>
    <t>Latest Mozilla Firefox installed.</t>
  </si>
  <si>
    <t>1. Open the home page and check the layout.
2. Click the three navigation links.
3. Select one category filter and then 'All'.
4. Open one product page and check the details.
5. Click 'WhatsApp Quote' and 'Back to products'.</t>
  </si>
  <si>
    <t>All steps behave the same as in Chrome. No layout, font or functional differences.</t>
  </si>
  <si>
    <t>TC_050</t>
  </si>
  <si>
    <t>Verify core flows in Microsoft Edge (smoke)</t>
  </si>
  <si>
    <t>Latest Microsoft Edge installed.</t>
  </si>
  <si>
    <t>TC_051</t>
  </si>
  <si>
    <t>Verify layout at responsive breakpoint boundaries (BVA)</t>
  </si>
  <si>
    <t>1. Slowly drag the viewport width from 1440 px down to 320 px and note each width where the layout changes (breakpoint B).
2. For every breakpoint B found, test widths B-1, B and B+1.
3. Also test the minimum width 320 px and a wide screen of 1920 px.
4. At every width check header, filters and card grid.</t>
  </si>
  <si>
    <t>Widths: 320, B-1, B, B+1, 1920 (B found in step 1)</t>
  </si>
  <si>
    <t>Layout changes cleanly at each boundary. No overlapping elements, truncated text or horizontal scrollbar at any tested width.</t>
  </si>
  <si>
    <t>TC_052</t>
  </si>
  <si>
    <t>Verify behaviour for invalid URLs</t>
  </si>
  <si>
    <t>1. Enter each invalid URL in the address bar.
2. Observe the page displayed.
3. Check whether the user can navigate back to the site.</t>
  </si>
  <si>
    <t>https://yashart.netlify.app/products/invalid-product-xyz ; https://yashart.netlify.app/abc</t>
  </si>
  <si>
    <t>A user-friendly 'not found' message or a redirect to the home page is shown. No blank page or raw technical error, and the user can get back to the site.</t>
  </si>
  <si>
    <t>TC_053</t>
  </si>
  <si>
    <t>https://yashart.netlify.app/home ; https://yashart.netlify.app/home#products ; https://yashart.netlify.app/products/paper-cup-250-ml</t>
  </si>
  <si>
    <t>TC_054</t>
  </si>
  <si>
    <t>Verify content, branding and URL consistency</t>
  </si>
  <si>
    <t>1. Compare brand name spelling/casing, logo and navigation labels on the home page and three product pages.
2. Compare the browser tab titles.
3. Compare the URL pattern of the product pages (e.g. with or without '.html').
4. Read headings and descriptions for typos or placeholder text.</t>
  </si>
  <si>
    <t>Home page + Food Parcel Container 500 ml, Aluminium Foil Container 450 ml, Royal Gold Foil Wedding Card</t>
  </si>
  <si>
    <t>Brand name, labels, spelling and URL conventions are consistent across pages, with no typos or placeholder text. Record any difference as an observation.</t>
  </si>
  <si>
    <t>Execution Date</t>
  </si>
  <si>
    <t>Tester</t>
  </si>
  <si>
    <t>Environment</t>
  </si>
  <si>
    <t>Browser</t>
  </si>
  <si>
    <t>Defect ID</t>
  </si>
  <si>
    <t>Comments</t>
  </si>
  <si>
    <t>Not Executed</t>
  </si>
  <si>
    <t>Bug ID</t>
  </si>
  <si>
    <t>Bug Title</t>
  </si>
  <si>
    <t>Steps to Reproduce</t>
  </si>
  <si>
    <t>Severity</t>
  </si>
  <si>
    <t>Reported By</t>
  </si>
  <si>
    <t>Reported Date</t>
  </si>
  <si>
    <t>Screenshot/Evidence</t>
  </si>
  <si>
    <t>Requirement ID</t>
  </si>
  <si>
    <t>Requirement</t>
  </si>
  <si>
    <t>Test Result</t>
  </si>
  <si>
    <t>REQ_01</t>
  </si>
  <si>
    <t>Home page loads and shows header, catalogue, brand section and contact section</t>
  </si>
  <si>
    <t>REQ_02</t>
  </si>
  <si>
    <t>Header displays the brand logo and business name</t>
  </si>
  <si>
    <t>REQ_03</t>
  </si>
  <si>
    <t>Header navigation links (Home, Products, Contact) scroll to their sections</t>
  </si>
  <si>
    <t>REQ_04</t>
  </si>
  <si>
    <t>Header phone link triggers a call to the business number</t>
  </si>
  <si>
    <t>REQ_05</t>
  </si>
  <si>
    <t>Header WhatsApp link opens a chat with a pre-filled quote message</t>
  </si>
  <si>
    <t>REQ_06</t>
  </si>
  <si>
    <t>Catalogue shows the 'Our Products' heading and introduction text</t>
  </si>
  <si>
    <t>REQ_07</t>
  </si>
  <si>
    <t>Catalogue lists all 21 products with category, name and specification line</t>
  </si>
  <si>
    <t>REQ_08</t>
  </si>
  <si>
    <t>'View Product' opens the corresponding product detail page</t>
  </si>
  <si>
    <t>REQ_09</t>
  </si>
  <si>
    <t>Category filter (All + 6 categories) shows the correct products</t>
  </si>
  <si>
    <t>REQ_10</t>
  </si>
  <si>
    <t>Product detail page shows name, categories, badges, description and specifications</t>
  </si>
  <si>
    <t>REQ_11</t>
  </si>
  <si>
    <t>Product detail page provides navigation back to the catalogue and home page sections</t>
  </si>
  <si>
    <t>REQ_12</t>
  </si>
  <si>
    <t>WhatsApp Quote opens a chat with a product-specific pre-filled message</t>
  </si>
  <si>
    <t>REQ_13</t>
  </si>
  <si>
    <t>Call Now triggers a call to the business number</t>
  </si>
  <si>
    <t>REQ_14</t>
  </si>
  <si>
    <t>Contact section shows phone, email, address, working hours and copyright</t>
  </si>
  <si>
    <t>REQ_15</t>
  </si>
  <si>
    <t>Instagram link opens the business profile</t>
  </si>
  <si>
    <t>REQ_16</t>
  </si>
  <si>
    <t>Email address is displayed and usable for contact</t>
  </si>
  <si>
    <t>REQ_17</t>
  </si>
  <si>
    <t>Site is usable on mobile, tablet and desktop viewports</t>
  </si>
  <si>
    <t>REQ_18</t>
  </si>
  <si>
    <t>Site works consistently in supported browsers</t>
  </si>
  <si>
    <t>REQ_19</t>
  </si>
  <si>
    <t>Invalid and direct URLs are handled gracefully</t>
  </si>
  <si>
    <t>REQ_20</t>
  </si>
  <si>
    <t>Content, branding and URLs are consistent across pages</t>
  </si>
  <si>
    <t>Note: Requirements are 'observed requirements' derived from the live website because no SRS/BRD was provided. One row per test case.</t>
  </si>
  <si>
    <t>TEST SUMMARY REPORT - YASHART Manual Testing</t>
  </si>
  <si>
    <t>Project Details</t>
  </si>
  <si>
    <t>Results by Module (auto-calculated)</t>
  </si>
  <si>
    <t>Project Name</t>
  </si>
  <si>
    <t>YASHART Manual Testing Project</t>
  </si>
  <si>
    <t>Total</t>
  </si>
  <si>
    <t>Pass</t>
  </si>
  <si>
    <t>Fail</t>
  </si>
  <si>
    <t>Blocked</t>
  </si>
  <si>
    <t>Application</t>
  </si>
  <si>
    <t>YASHART — Screen Printing (https://yashart.netlify.app/)</t>
  </si>
  <si>
    <t>Testing Period</t>
  </si>
  <si>
    <t>Fill in: start date to end date</t>
  </si>
  <si>
    <t>Testing Environment</t>
  </si>
  <si>
    <t>Fill in: OS, browser versions, device/viewport used</t>
  </si>
  <si>
    <t>Fill in</t>
  </si>
  <si>
    <t>Test Execution Metrics (auto-calculated)</t>
  </si>
  <si>
    <t>Total Test Cases</t>
  </si>
  <si>
    <t>Counted from the Test Cases sheet</t>
  </si>
  <si>
    <t>Passed</t>
  </si>
  <si>
    <t>From Test Execution &gt; Status</t>
  </si>
  <si>
    <t>Failed</t>
  </si>
  <si>
    <t>TOTAL</t>
  </si>
  <si>
    <t>Executed</t>
  </si>
  <si>
    <t>Passed + Failed + Blocked</t>
  </si>
  <si>
    <t>Total - Executed</t>
  </si>
  <si>
    <t>Execution %</t>
  </si>
  <si>
    <t>Executed / Total</t>
  </si>
  <si>
    <t>Pass % (of executed)</t>
  </si>
  <si>
    <t>Passed / Executed</t>
  </si>
  <si>
    <t>Defect Metrics (auto-calculated)</t>
  </si>
  <si>
    <t>Total Defects</t>
  </si>
  <si>
    <t>Counted from Bug ID column in Bug Reports</t>
  </si>
  <si>
    <t>Critical Defects</t>
  </si>
  <si>
    <t>High Defects</t>
  </si>
  <si>
    <t>Medium Defects</t>
  </si>
  <si>
    <t>Low Defects</t>
  </si>
  <si>
    <t>Open Defects</t>
  </si>
  <si>
    <t>Total minus Closed and Rejected</t>
  </si>
  <si>
    <t>Scope and Findings</t>
  </si>
  <si>
    <t>Testing Scope</t>
  </si>
  <si>
    <t>Home page, header navigation, product catalogue (21 products), category filter (All + 6), product detail pages, WhatsApp/phone enquiry links, contact section, responsive layout, browser compatibility, URL handling and content consistency of https://yashart.netlify.app/.</t>
  </si>
  <si>
    <t>Planned scope - edit if the executed scope differs</t>
  </si>
  <si>
    <t>Testing Types</t>
  </si>
  <si>
    <t>Smoke, Sanity, Functional, UI, Usability, Responsive, Compatibility, Regression, Retesting (after a defect is fixed).</t>
  </si>
  <si>
    <t>Planned - remove any type not actually performed</t>
  </si>
  <si>
    <t>Major Findings</t>
  </si>
  <si>
    <t>Complete AFTER execution. Summarise real defects/observations only.</t>
  </si>
  <si>
    <t>Known Limitations</t>
  </si>
  <si>
    <t>Manual testing only. Live third-party site tested without requirements document. WhatsApp, phone and Instagram links verified only up to the point they open (no messages sent, no calls placed). Browser and device coverage limited to what was available to the tester. No performance, security or accessibility audit.</t>
  </si>
  <si>
    <t>Planned limitations - review and edit after execution</t>
  </si>
  <si>
    <t>Overall Conclusion</t>
  </si>
  <si>
    <t>Complete AFTER execution, based on the metrics above.</t>
  </si>
  <si>
    <t>HOW TO USE THIS WORKBOOK</t>
  </si>
  <si>
    <t>Colour legend</t>
  </si>
  <si>
    <t>Yellow cell = you type here.  Grey cell with green text = formula, do not type over it.  Dark-blue row = column headers.</t>
  </si>
  <si>
    <t>Where to record results</t>
  </si>
  <si>
    <t>Record ALL execution results only in the 'Test Execution' sheet (columns C to J). The 'Test Cases', 'RTM' and 'Test Summary' sheets update automatically from it.</t>
  </si>
  <si>
    <t>Status values</t>
  </si>
  <si>
    <t>Pass, Fail, Blocked, Not Executed (drop-down in Test Execution &gt; Status). Every case starts as 'Not Executed'.</t>
  </si>
  <si>
    <t>Failing a test</t>
  </si>
  <si>
    <t>Set Status = Fail, write what you actually observed in Actual Result, log the bug in 'Bug Reports', then put its Bug ID in Test Execution &gt; Defect ID.</t>
  </si>
  <si>
    <t>Use when a test cannot be run (e.g. page not loading, app not installed). Explain why in Comments.</t>
  </si>
  <si>
    <t>Bug Reports sheet</t>
  </si>
  <si>
    <t>Type one defect per row starting from row 2. Bug ID format: BUG_001, BUG_002 ... Leave unused rows empty - the summary counts rows that have a Bug ID.</t>
  </si>
  <si>
    <t>Severity guide</t>
  </si>
  <si>
    <t>Critical = site unusable / main enquiry flow impossible. High = major feature broken, no workaround. Medium = feature partly wrong, workaround exists. Low = cosmetic / minor text issue.</t>
  </si>
  <si>
    <t>Priority guide</t>
  </si>
  <si>
    <t>High = fix first. Medium = fix in normal course. Low = fix when time permits.</t>
  </si>
  <si>
    <t>Format examples (formats only)</t>
  </si>
  <si>
    <t>Execution Date: DD-MMM-YYYY (e.g. 12-Oct-2026).  Browser: name + version (e.g. Chrome 130).  Environment: OS + device (e.g. Windows 11 / Desktop).  Evidence: relative path (e.g. Screenshots/Bugs/BUG_001_title.png).</t>
  </si>
  <si>
    <t>Do not</t>
  </si>
  <si>
    <t>Do not sort or delete rows in 'Test Execution' or 'Test Cases' without keeping IDs together. Do not change Test Case IDs. Do not enter results for tests you have not run.</t>
  </si>
  <si>
    <t>Requirements note</t>
  </si>
  <si>
    <t>No SRS was available, so requirements in the RTM are 'observed requirements' derived from the live site on 09-Oct-2026.</t>
  </si>
  <si>
    <t>Verify product badges on detail page</t>
  </si>
  <si>
    <t>The YASHART home page is open and the product detail pages are accessible.</t>
  </si>
  <si>
    <t>1. Open a product detail page.
2. Check whether the Featured, In Stock and Custom Printing badges are displayed.
3. Compare each badge with the documented or observed expected behaviour for that product.
4. Repeat for the selected products in the test data.</t>
  </si>
  <si>
    <t>The products listed in the existing TC_033 test data.</t>
  </si>
  <si>
    <t>Each badge is displayed according to the expected behaviour defined for that product. The Featured badge is consistent with the catalogue card where the same badge is intended to appear. Record unexpected differences as observations and investigate before reporting a defect.</t>
  </si>
  <si>
    <t>After refreshing the page, returning from a product detail page using the site's Back to products link, and using the browser Back button, the product grid must remain functional and the displayed products must match the active filter.
Record whether the selected filter is retained or reset to All in each situation. Since the intended persistence behaviour has not been formally specified, record any difference as an observation and investigate before classifying it as a defect.</t>
  </si>
  <si>
    <t>Verify direct navigation to valid and invalid URLs</t>
  </si>
  <si>
    <t>1. Open the website's root URL directly in a new tab.
2. Open the Products section using its observed URL.
3. Open a valid product detail URL copied from the actual website.
4. Open an unknown URL path.
5. Record the page content, URL and any error or fallback behaviour.</t>
  </si>
  <si>
    <t>Valid URLs open the corresponding content correctly. An unknown URL is handled appropriately without displaying misleading product details or causing an application crash. Record the actual behaviour before deciding whether it constitutes a defect.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</si>
</sst>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
  </numFmts>
  <fonts count="8" x14ac:knownFonts="1">
    <font>
      <sz val="11"/>
      <color theme="1"/>
      <name val="Calibri"/>
      <family val="2"/>
      <charset val="1"/>
    </font>
    <font>
      <b/>
      <sz val="10"/>
      <color rgb="FFFFFFFF"/>
      <name val="Arial"/>
      <charset val="1"/>
    </font>
    <font>
      <sz val="10"/>
      <color rgb="FF000000"/>
      <name val="Arial"/>
      <charset val="1"/>
    </font>
    <font>
      <sz val="10"/>
      <color rgb="FF008000"/>
      <name val="Arial"/>
      <charset val="1"/>
    </font>
    <font>
      <sz val="9"/>
      <color rgb="FF595959"/>
      <name val="Arial"/>
      <charset val="1"/>
    </font>
    <font>
      <b/>
      <sz val="14"/>
      <color rgb="FF1F3864"/>
      <name val="Arial"/>
      <charset val="1"/>
    </font>
    <font>
      <b/>
      <sz val="10"/>
      <color rgb="FF000000"/>
      <name val="Arial"/>
      <charset val="1"/>
    </font>
    <font>
      <b/>
      <sz val="12"/>
      <color rgb="FF1F3864"/>
      <name val="Arial"/>
      <charset val="1"/>
    </font>
  </fonts>
  <fills count="6">
    <fill>
      <patternFill patternType="none"/>
    </fill>
    <fill>
      <patternFill patternType="gray125"/>
    </fill>
    <fill>
      <patternFill patternType="solid">
        <fgColor rgb="FF1F3864"/>
        <bgColor rgb="FF333333"/>
      </patternFill>
    </fill>
    <fill>
      <patternFill patternType="solid">
        <fgColor rgb="FFEDEDED"/>
        <bgColor rgb="FFE7E6E6"/>
      </patternFill>
    </fill>
    <fill>
      <patternFill patternType="solid">
        <fgColor rgb="FFFFF2CC"/>
        <bgColor rgb="FFEDEDED"/>
      </patternFill>
    </fill>
    <fill>
      <patternFill patternType="solid">
        <fgColor rgb="FFD9E1F2"/>
        <bgColor rgb="FFE7E6E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vertical="top" wrapText="1"/>
    </xf>
    <xf numFmtId="164" fontId="2" fillId="4" borderId="1" xfId="0" applyNumberFormat="1" applyFont="1" applyFill="1" applyBorder="1" applyAlignment="1">
      <alignment horizontal="center" vertical="top" wrapText="1"/>
    </xf>
    <xf numFmtId="0" fontId="2" fillId="4" borderId="1" xfId="0" applyFont="1" applyFill="1" applyBorder="1" applyAlignment="1">
      <alignment vertical="top" wrapText="1"/>
    </xf>
    <xf numFmtId="0" fontId="2" fillId="4" borderId="1" xfId="0" applyFont="1" applyFill="1" applyBorder="1" applyAlignment="1">
      <alignment horizontal="center" vertical="top" wrapText="1"/>
    </xf>
    <xf numFmtId="164" fontId="2" fillId="0" borderId="1" xfId="0" applyNumberFormat="1" applyFont="1" applyBorder="1" applyAlignment="1">
      <alignment vertical="top" wrapText="1"/>
    </xf>
    <xf numFmtId="0" fontId="4" fillId="0" borderId="0" xfId="0" applyFont="1"/>
    <xf numFmtId="0" fontId="5" fillId="0" borderId="0" xfId="0" applyFont="1"/>
    <xf numFmtId="0" fontId="6" fillId="5" borderId="1" xfId="0" applyFont="1" applyFill="1" applyBorder="1"/>
    <xf numFmtId="0" fontId="0" fillId="5" borderId="1" xfId="0" applyFill="1" applyBorder="1"/>
    <xf numFmtId="0" fontId="6" fillId="0" borderId="0" xfId="0" applyFont="1"/>
    <xf numFmtId="0" fontId="6" fillId="0" borderId="1" xfId="0" applyFont="1" applyBorder="1" applyAlignment="1">
      <alignment vertical="top" wrapText="1"/>
    </xf>
    <xf numFmtId="0" fontId="4" fillId="0" borderId="1" xfId="0" applyFont="1" applyBorder="1" applyAlignment="1">
      <alignment vertical="top" wrapText="1"/>
    </xf>
    <xf numFmtId="0" fontId="2" fillId="0" borderId="1" xfId="0" applyFont="1" applyBorder="1" applyAlignment="1">
      <alignment horizontal="left" vertical="center"/>
    </xf>
    <xf numFmtId="0" fontId="3" fillId="0" borderId="1" xfId="0" applyFont="1" applyBorder="1" applyAlignment="1">
      <alignment horizontal="center" vertical="center"/>
    </xf>
    <xf numFmtId="0" fontId="6" fillId="5" borderId="1" xfId="0" applyFont="1" applyFill="1" applyBorder="1" applyAlignment="1">
      <alignment horizontal="left"/>
    </xf>
    <xf numFmtId="0" fontId="6" fillId="5" borderId="1" xfId="0" applyFont="1" applyFill="1" applyBorder="1" applyAlignment="1">
      <alignment horizontal="center"/>
    </xf>
    <xf numFmtId="165" fontId="3" fillId="3" borderId="1" xfId="0" applyNumberFormat="1" applyFont="1" applyFill="1" applyBorder="1" applyAlignment="1">
      <alignment vertical="top" wrapText="1"/>
    </xf>
    <xf numFmtId="0" fontId="7" fillId="0" borderId="0" xfId="0" applyFont="1" applyAlignment="1">
      <alignment vertical="top" wrapText="1"/>
    </xf>
    <xf numFmtId="0" fontId="2" fillId="0" borderId="0" xfId="0" applyFont="1" applyAlignment="1">
      <alignment vertical="top" wrapText="1"/>
    </xf>
    <xf numFmtId="0" fontId="6" fillId="4" borderId="1" xfId="0" applyFont="1" applyFill="1" applyBorder="1" applyAlignment="1">
      <alignment vertical="top" wrapText="1"/>
    </xf>
  </cellXfs>
  <cellStyles count="1">
    <cellStyle name="Normal" xfId="0" builtinId="0"/>
  </cellStyles>
  <dxfs count="12">
    <dxf>
      <font>
        <color rgb="FF595959"/>
        <name val="Arial"/>
        <charset val="1"/>
      </font>
      <fill>
        <patternFill>
          <bgColor rgb="FFE7E6E6"/>
        </patternFill>
      </fill>
    </dxf>
    <dxf>
      <font>
        <color rgb="FF9C5700"/>
        <name val="Arial"/>
        <charset val="1"/>
      </font>
      <fill>
        <patternFill>
          <bgColor rgb="FFFFEB9C"/>
        </patternFill>
      </fill>
    </dxf>
    <dxf>
      <font>
        <color rgb="FF9C0006"/>
        <name val="Arial"/>
        <charset val="1"/>
      </font>
      <fill>
        <patternFill>
          <bgColor rgb="FFFFC7CE"/>
        </patternFill>
      </fill>
    </dxf>
    <dxf>
      <font>
        <color rgb="FF006100"/>
        <name val="Arial"/>
        <charset val="1"/>
      </font>
      <fill>
        <patternFill>
          <bgColor rgb="FFC6EFCE"/>
        </patternFill>
      </fill>
    </dxf>
    <dxf>
      <font>
        <color rgb="FF595959"/>
        <name val="Arial"/>
        <charset val="1"/>
      </font>
      <fill>
        <patternFill>
          <bgColor rgb="FFE7E6E6"/>
        </patternFill>
      </fill>
    </dxf>
    <dxf>
      <font>
        <color rgb="FF9C5700"/>
        <name val="Arial"/>
        <charset val="1"/>
      </font>
      <fill>
        <patternFill>
          <bgColor rgb="FFFFEB9C"/>
        </patternFill>
      </fill>
    </dxf>
    <dxf>
      <font>
        <color rgb="FF9C0006"/>
        <name val="Arial"/>
        <charset val="1"/>
      </font>
      <fill>
        <patternFill>
          <bgColor rgb="FFFFC7CE"/>
        </patternFill>
      </fill>
    </dxf>
    <dxf>
      <font>
        <color rgb="FF006100"/>
        <name val="Arial"/>
        <charset val="1"/>
      </font>
      <fill>
        <patternFill>
          <bgColor rgb="FFC6EFCE"/>
        </patternFill>
      </fill>
    </dxf>
    <dxf>
      <font>
        <color rgb="FF595959"/>
        <name val="Arial"/>
        <charset val="1"/>
      </font>
      <fill>
        <patternFill>
          <bgColor rgb="FFE7E6E6"/>
        </patternFill>
      </fill>
    </dxf>
    <dxf>
      <font>
        <color rgb="FF9C5700"/>
        <name val="Arial"/>
        <charset val="1"/>
      </font>
      <fill>
        <patternFill>
          <bgColor rgb="FFFFEB9C"/>
        </patternFill>
      </fill>
    </dxf>
    <dxf>
      <font>
        <color rgb="FF9C0006"/>
        <name val="Arial"/>
        <charset val="1"/>
      </font>
      <fill>
        <patternFill>
          <bgColor rgb="FFFFC7CE"/>
        </patternFill>
      </fill>
    </dxf>
    <dxf>
      <font>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7E6E6"/>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61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abSelected="1" zoomScaleNormal="100" workbookViewId="0">
      <pane ySplit="1" topLeftCell="A2" activePane="bottomLeft" state="frozen"/>
      <selection pane="bottomLeft" activeCell="F19" sqref="F19"/>
    </sheetView>
  </sheetViews>
  <sheetFormatPr defaultColWidth="8.6328125" defaultRowHeight="14.5" x14ac:dyDescent="0.35"/>
  <cols>
    <col min="1" max="1" width="12" customWidth="1"/>
    <col min="2" max="2" width="24" customWidth="1"/>
    <col min="3" max="3" width="55" customWidth="1"/>
    <col min="4" max="4" width="10" customWidth="1"/>
    <col min="5" max="5" width="28" customWidth="1"/>
    <col min="6" max="6" width="60" customWidth="1"/>
  </cols>
  <sheetData>
    <row r="1" spans="1:6" ht="30" customHeight="1" x14ac:dyDescent="0.35">
      <c r="A1" s="1" t="s">
        <v>0</v>
      </c>
      <c r="B1" s="1" t="s">
        <v>1</v>
      </c>
      <c r="C1" s="1" t="s">
        <v>2</v>
      </c>
      <c r="D1" s="1" t="s">
        <v>3</v>
      </c>
      <c r="E1" s="1" t="s">
        <v>4</v>
      </c>
      <c r="F1" s="1" t="s">
        <v>5</v>
      </c>
    </row>
    <row r="2" spans="1:6" ht="25" x14ac:dyDescent="0.35">
      <c r="A2" s="2" t="s">
        <v>6</v>
      </c>
      <c r="B2" s="3" t="s">
        <v>7</v>
      </c>
      <c r="C2" s="3" t="s">
        <v>8</v>
      </c>
      <c r="D2" s="2" t="s">
        <v>9</v>
      </c>
      <c r="E2" s="3" t="s">
        <v>10</v>
      </c>
      <c r="F2" s="3" t="s">
        <v>11</v>
      </c>
    </row>
    <row r="3" spans="1:6" x14ac:dyDescent="0.35">
      <c r="A3" s="2" t="s">
        <v>12</v>
      </c>
      <c r="B3" s="3" t="s">
        <v>7</v>
      </c>
      <c r="C3" s="3" t="s">
        <v>13</v>
      </c>
      <c r="D3" s="2" t="s">
        <v>14</v>
      </c>
      <c r="E3" s="3" t="s">
        <v>15</v>
      </c>
      <c r="F3" s="3" t="s">
        <v>16</v>
      </c>
    </row>
    <row r="4" spans="1:6" x14ac:dyDescent="0.35">
      <c r="A4" s="2" t="s">
        <v>17</v>
      </c>
      <c r="B4" s="3" t="s">
        <v>7</v>
      </c>
      <c r="C4" s="3" t="s">
        <v>18</v>
      </c>
      <c r="D4" s="2" t="s">
        <v>9</v>
      </c>
      <c r="E4" s="3" t="s">
        <v>19</v>
      </c>
      <c r="F4" s="3" t="s">
        <v>20</v>
      </c>
    </row>
    <row r="5" spans="1:6" x14ac:dyDescent="0.35">
      <c r="A5" s="2" t="s">
        <v>21</v>
      </c>
      <c r="B5" s="3" t="s">
        <v>7</v>
      </c>
      <c r="C5" s="3" t="s">
        <v>22</v>
      </c>
      <c r="D5" s="2" t="s">
        <v>9</v>
      </c>
      <c r="E5" s="3" t="s">
        <v>23</v>
      </c>
      <c r="F5" s="3" t="s">
        <v>24</v>
      </c>
    </row>
    <row r="6" spans="1:6" ht="25" x14ac:dyDescent="0.35">
      <c r="A6" s="2" t="s">
        <v>25</v>
      </c>
      <c r="B6" s="3" t="s">
        <v>7</v>
      </c>
      <c r="C6" s="3" t="s">
        <v>26</v>
      </c>
      <c r="D6" s="2" t="s">
        <v>9</v>
      </c>
      <c r="E6" s="3" t="s">
        <v>23</v>
      </c>
      <c r="F6" s="3" t="s">
        <v>27</v>
      </c>
    </row>
    <row r="7" spans="1:6" x14ac:dyDescent="0.35">
      <c r="A7" s="2" t="s">
        <v>28</v>
      </c>
      <c r="B7" s="3" t="s">
        <v>29</v>
      </c>
      <c r="C7" s="3" t="s">
        <v>30</v>
      </c>
      <c r="D7" s="2" t="s">
        <v>14</v>
      </c>
      <c r="E7" s="3" t="s">
        <v>15</v>
      </c>
      <c r="F7" s="3" t="s">
        <v>31</v>
      </c>
    </row>
    <row r="8" spans="1:6" ht="25" x14ac:dyDescent="0.35">
      <c r="A8" s="2" t="s">
        <v>32</v>
      </c>
      <c r="B8" s="3" t="s">
        <v>29</v>
      </c>
      <c r="C8" s="3" t="s">
        <v>33</v>
      </c>
      <c r="D8" s="2" t="s">
        <v>9</v>
      </c>
      <c r="E8" s="3" t="s">
        <v>34</v>
      </c>
      <c r="F8" s="3" t="s">
        <v>35</v>
      </c>
    </row>
    <row r="9" spans="1:6" ht="25" x14ac:dyDescent="0.35">
      <c r="A9" s="2" t="s">
        <v>36</v>
      </c>
      <c r="B9" s="3" t="s">
        <v>29</v>
      </c>
      <c r="C9" s="3" t="s">
        <v>37</v>
      </c>
      <c r="D9" s="2" t="s">
        <v>14</v>
      </c>
      <c r="E9" s="3" t="s">
        <v>38</v>
      </c>
      <c r="F9" s="3" t="s">
        <v>39</v>
      </c>
    </row>
    <row r="10" spans="1:6" ht="25" x14ac:dyDescent="0.35">
      <c r="A10" s="2" t="s">
        <v>40</v>
      </c>
      <c r="B10" s="3" t="s">
        <v>29</v>
      </c>
      <c r="C10" s="3" t="s">
        <v>41</v>
      </c>
      <c r="D10" s="2" t="s">
        <v>9</v>
      </c>
      <c r="E10" s="3" t="s">
        <v>42</v>
      </c>
      <c r="F10" s="3" t="s">
        <v>43</v>
      </c>
    </row>
    <row r="11" spans="1:6" x14ac:dyDescent="0.35">
      <c r="A11" s="2" t="s">
        <v>44</v>
      </c>
      <c r="B11" s="3" t="s">
        <v>29</v>
      </c>
      <c r="C11" s="3" t="s">
        <v>45</v>
      </c>
      <c r="D11" s="2" t="s">
        <v>9</v>
      </c>
      <c r="E11" s="3" t="s">
        <v>46</v>
      </c>
      <c r="F11" s="3" t="s">
        <v>47</v>
      </c>
    </row>
    <row r="12" spans="1:6" x14ac:dyDescent="0.35">
      <c r="A12" s="2" t="s">
        <v>48</v>
      </c>
      <c r="B12" s="3" t="s">
        <v>49</v>
      </c>
      <c r="C12" s="3" t="s">
        <v>50</v>
      </c>
      <c r="D12" s="2" t="s">
        <v>9</v>
      </c>
      <c r="E12" s="3" t="s">
        <v>10</v>
      </c>
      <c r="F12" s="3" t="s">
        <v>51</v>
      </c>
    </row>
    <row r="13" spans="1:6" ht="25" x14ac:dyDescent="0.35">
      <c r="A13" s="2" t="s">
        <v>52</v>
      </c>
      <c r="B13" s="3" t="s">
        <v>49</v>
      </c>
      <c r="C13" s="3" t="s">
        <v>53</v>
      </c>
      <c r="D13" s="2" t="s">
        <v>9</v>
      </c>
      <c r="E13" s="3" t="s">
        <v>54</v>
      </c>
      <c r="F13" s="3" t="s">
        <v>55</v>
      </c>
    </row>
    <row r="14" spans="1:6" x14ac:dyDescent="0.35">
      <c r="A14" s="2" t="s">
        <v>56</v>
      </c>
      <c r="B14" s="3" t="s">
        <v>49</v>
      </c>
      <c r="C14" s="3" t="s">
        <v>57</v>
      </c>
      <c r="D14" s="2" t="s">
        <v>9</v>
      </c>
      <c r="E14" s="3" t="s">
        <v>58</v>
      </c>
      <c r="F14" s="3" t="s">
        <v>59</v>
      </c>
    </row>
    <row r="15" spans="1:6" x14ac:dyDescent="0.35">
      <c r="A15" s="2" t="s">
        <v>60</v>
      </c>
      <c r="B15" s="3" t="s">
        <v>49</v>
      </c>
      <c r="C15" s="3" t="s">
        <v>61</v>
      </c>
      <c r="D15" s="2" t="s">
        <v>14</v>
      </c>
      <c r="E15" s="3" t="s">
        <v>15</v>
      </c>
      <c r="F15" s="3" t="s">
        <v>62</v>
      </c>
    </row>
    <row r="16" spans="1:6" ht="25" x14ac:dyDescent="0.35">
      <c r="A16" s="2" t="s">
        <v>63</v>
      </c>
      <c r="B16" s="3" t="s">
        <v>49</v>
      </c>
      <c r="C16" s="3" t="s">
        <v>64</v>
      </c>
      <c r="D16" s="2" t="s">
        <v>14</v>
      </c>
      <c r="E16" s="3" t="s">
        <v>65</v>
      </c>
      <c r="F16" s="3" t="s">
        <v>66</v>
      </c>
    </row>
    <row r="17" spans="1:6" ht="25" x14ac:dyDescent="0.35">
      <c r="A17" s="2" t="s">
        <v>67</v>
      </c>
      <c r="B17" s="3" t="s">
        <v>68</v>
      </c>
      <c r="C17" s="3" t="s">
        <v>69</v>
      </c>
      <c r="D17" s="2" t="s">
        <v>9</v>
      </c>
      <c r="E17" s="3" t="s">
        <v>54</v>
      </c>
      <c r="F17" s="3" t="s">
        <v>70</v>
      </c>
    </row>
    <row r="18" spans="1:6" ht="25" x14ac:dyDescent="0.35">
      <c r="A18" s="2" t="s">
        <v>71</v>
      </c>
      <c r="B18" s="3" t="s">
        <v>68</v>
      </c>
      <c r="C18" s="3" t="s">
        <v>72</v>
      </c>
      <c r="D18" s="2" t="s">
        <v>14</v>
      </c>
      <c r="E18" s="3" t="s">
        <v>58</v>
      </c>
      <c r="F18" s="3" t="s">
        <v>73</v>
      </c>
    </row>
    <row r="19" spans="1:6" ht="25" x14ac:dyDescent="0.35">
      <c r="A19" s="2" t="s">
        <v>74</v>
      </c>
      <c r="B19" s="3" t="s">
        <v>68</v>
      </c>
      <c r="C19" s="3" t="s">
        <v>75</v>
      </c>
      <c r="D19" s="2" t="s">
        <v>76</v>
      </c>
      <c r="E19" s="3" t="s">
        <v>38</v>
      </c>
      <c r="F19" s="3" t="s">
        <v>77</v>
      </c>
    </row>
    <row r="20" spans="1:6" ht="25" x14ac:dyDescent="0.35">
      <c r="A20" s="2" t="s">
        <v>78</v>
      </c>
      <c r="B20" s="3" t="s">
        <v>68</v>
      </c>
      <c r="C20" s="3" t="s">
        <v>79</v>
      </c>
      <c r="D20" s="2" t="s">
        <v>9</v>
      </c>
      <c r="E20" s="3" t="s">
        <v>80</v>
      </c>
      <c r="F20" s="3" t="s">
        <v>81</v>
      </c>
    </row>
    <row r="21" spans="1:6" ht="25" x14ac:dyDescent="0.35">
      <c r="A21" s="2" t="s">
        <v>82</v>
      </c>
      <c r="B21" s="3" t="s">
        <v>68</v>
      </c>
      <c r="C21" s="3" t="s">
        <v>83</v>
      </c>
      <c r="D21" s="2" t="s">
        <v>9</v>
      </c>
      <c r="E21" s="3" t="s">
        <v>23</v>
      </c>
      <c r="F21" s="3" t="s">
        <v>84</v>
      </c>
    </row>
    <row r="22" spans="1:6" ht="25" x14ac:dyDescent="0.35">
      <c r="A22" s="2" t="s">
        <v>85</v>
      </c>
      <c r="B22" s="3" t="s">
        <v>86</v>
      </c>
      <c r="C22" s="3" t="s">
        <v>87</v>
      </c>
      <c r="D22" s="2" t="s">
        <v>9</v>
      </c>
      <c r="E22" s="3" t="s">
        <v>34</v>
      </c>
      <c r="F22" s="3" t="s">
        <v>88</v>
      </c>
    </row>
    <row r="23" spans="1:6" x14ac:dyDescent="0.35">
      <c r="A23" s="2" t="s">
        <v>89</v>
      </c>
      <c r="B23" s="3" t="s">
        <v>86</v>
      </c>
      <c r="C23" s="3" t="s">
        <v>90</v>
      </c>
      <c r="D23" s="2" t="s">
        <v>9</v>
      </c>
      <c r="E23" s="3" t="s">
        <v>23</v>
      </c>
      <c r="F23" s="3" t="s">
        <v>91</v>
      </c>
    </row>
    <row r="24" spans="1:6" ht="25" x14ac:dyDescent="0.35">
      <c r="A24" s="2" t="s">
        <v>92</v>
      </c>
      <c r="B24" s="3" t="s">
        <v>93</v>
      </c>
      <c r="C24" s="3" t="s">
        <v>94</v>
      </c>
      <c r="D24" s="2" t="s">
        <v>9</v>
      </c>
      <c r="E24" s="3" t="s">
        <v>95</v>
      </c>
      <c r="F24" s="3" t="s">
        <v>96</v>
      </c>
    </row>
    <row r="25" spans="1:6" x14ac:dyDescent="0.35">
      <c r="A25" s="2" t="s">
        <v>97</v>
      </c>
      <c r="B25" s="3" t="s">
        <v>93</v>
      </c>
      <c r="C25" s="3" t="s">
        <v>98</v>
      </c>
      <c r="D25" s="2" t="s">
        <v>14</v>
      </c>
      <c r="E25" s="3" t="s">
        <v>23</v>
      </c>
      <c r="F25" s="3" t="s">
        <v>99</v>
      </c>
    </row>
    <row r="26" spans="1:6" ht="25" x14ac:dyDescent="0.35">
      <c r="A26" s="2" t="s">
        <v>100</v>
      </c>
      <c r="B26" s="3" t="s">
        <v>93</v>
      </c>
      <c r="C26" s="3" t="s">
        <v>101</v>
      </c>
      <c r="D26" s="2" t="s">
        <v>14</v>
      </c>
      <c r="E26" s="3" t="s">
        <v>80</v>
      </c>
      <c r="F26" s="3" t="s">
        <v>102</v>
      </c>
    </row>
    <row r="27" spans="1:6" x14ac:dyDescent="0.35">
      <c r="A27" s="2" t="s">
        <v>103</v>
      </c>
      <c r="B27" s="3" t="s">
        <v>104</v>
      </c>
      <c r="C27" s="3" t="s">
        <v>105</v>
      </c>
      <c r="D27" s="2" t="s">
        <v>9</v>
      </c>
      <c r="E27" s="3" t="s">
        <v>106</v>
      </c>
      <c r="F27" s="3" t="s">
        <v>107</v>
      </c>
    </row>
    <row r="28" spans="1:6" x14ac:dyDescent="0.35">
      <c r="A28" s="2" t="s">
        <v>108</v>
      </c>
      <c r="B28" s="3" t="s">
        <v>104</v>
      </c>
      <c r="C28" s="3" t="s">
        <v>109</v>
      </c>
      <c r="D28" s="2" t="s">
        <v>9</v>
      </c>
      <c r="E28" s="3" t="s">
        <v>110</v>
      </c>
      <c r="F28" s="3" t="s">
        <v>111</v>
      </c>
    </row>
    <row r="29" spans="1:6" ht="25" x14ac:dyDescent="0.35">
      <c r="A29" s="2" t="s">
        <v>112</v>
      </c>
      <c r="B29" s="3" t="s">
        <v>104</v>
      </c>
      <c r="C29" s="3" t="s">
        <v>113</v>
      </c>
      <c r="D29" s="2" t="s">
        <v>14</v>
      </c>
      <c r="E29" s="3" t="s">
        <v>114</v>
      </c>
      <c r="F29" s="3" t="s">
        <v>115</v>
      </c>
    </row>
    <row r="30" spans="1:6" x14ac:dyDescent="0.35">
      <c r="A30" s="2" t="s">
        <v>116</v>
      </c>
      <c r="B30" s="3" t="s">
        <v>117</v>
      </c>
      <c r="C30" s="3" t="s">
        <v>118</v>
      </c>
      <c r="D30" s="2" t="s">
        <v>14</v>
      </c>
      <c r="E30" s="3" t="s">
        <v>119</v>
      </c>
      <c r="F30" s="3" t="s">
        <v>120</v>
      </c>
    </row>
    <row r="31" spans="1:6" x14ac:dyDescent="0.35">
      <c r="A31" s="2" t="s">
        <v>121</v>
      </c>
      <c r="B31" s="3" t="s">
        <v>117</v>
      </c>
      <c r="C31" s="3" t="s">
        <v>122</v>
      </c>
      <c r="D31" s="2" t="s">
        <v>76</v>
      </c>
      <c r="E31" s="3" t="s">
        <v>123</v>
      </c>
      <c r="F31" s="3" t="s">
        <v>124</v>
      </c>
    </row>
  </sheetData>
  <autoFilter ref="A1:F3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5"/>
  <sheetViews>
    <sheetView topLeftCell="E1" zoomScaleNormal="100" workbookViewId="0">
      <pane ySplit="1" topLeftCell="A51" activePane="bottomLeft" state="frozen"/>
      <selection pane="bottomLeft" activeCell="H54" sqref="H54"/>
    </sheetView>
  </sheetViews>
  <sheetFormatPr defaultColWidth="8.6328125" defaultRowHeight="14.5" x14ac:dyDescent="0.35"/>
  <cols>
    <col min="1" max="2" width="12" customWidth="1"/>
    <col min="3" max="3" width="22" customWidth="1"/>
    <col min="4" max="4" width="40" customWidth="1"/>
    <col min="5" max="5" width="34" customWidth="1"/>
    <col min="6" max="6" width="55" customWidth="1"/>
    <col min="7" max="7" width="38" customWidth="1"/>
    <col min="8" max="8" width="55" customWidth="1"/>
    <col min="9" max="9" width="16" customWidth="1"/>
    <col min="10" max="10" width="14" customWidth="1"/>
    <col min="11" max="11" width="10" customWidth="1"/>
  </cols>
  <sheetData>
    <row r="1" spans="1:11" ht="30" customHeight="1" x14ac:dyDescent="0.35">
      <c r="A1" s="1" t="s">
        <v>125</v>
      </c>
      <c r="B1" s="1" t="s">
        <v>0</v>
      </c>
      <c r="C1" s="1" t="s">
        <v>1</v>
      </c>
      <c r="D1" s="1" t="s">
        <v>126</v>
      </c>
      <c r="E1" s="1" t="s">
        <v>127</v>
      </c>
      <c r="F1" s="1" t="s">
        <v>128</v>
      </c>
      <c r="G1" s="1" t="s">
        <v>129</v>
      </c>
      <c r="H1" s="1" t="s">
        <v>130</v>
      </c>
      <c r="I1" s="1" t="s">
        <v>131</v>
      </c>
      <c r="J1" s="1" t="s">
        <v>132</v>
      </c>
      <c r="K1" s="1" t="s">
        <v>3</v>
      </c>
    </row>
    <row r="2" spans="1:11" ht="50" x14ac:dyDescent="0.35">
      <c r="A2" s="2" t="s">
        <v>133</v>
      </c>
      <c r="B2" s="2" t="s">
        <v>6</v>
      </c>
      <c r="C2" s="3" t="s">
        <v>7</v>
      </c>
      <c r="D2" s="3" t="s">
        <v>134</v>
      </c>
      <c r="E2" s="3" t="s">
        <v>135</v>
      </c>
      <c r="F2" s="3" t="s">
        <v>136</v>
      </c>
      <c r="G2" s="3" t="s">
        <v>137</v>
      </c>
      <c r="H2" s="3" t="s">
        <v>138</v>
      </c>
      <c r="I2" s="4" t="str">
        <f>IFERROR(IF(INDEX('Test Execution'!$G$2:$G$55,MATCH($A2,'Test Execution'!$A$2:$A$55,0))="","Not Executed",INDEX('Test Execution'!$G$2:$G$55,MATCH($A2,'Test Execution'!$A$2:$A$55,0))),"Not Executed")</f>
        <v>Not Executed</v>
      </c>
      <c r="J2" s="4" t="str">
        <f>IFERROR(IF(INDEX('Test Execution'!$H$2:$H$55,MATCH($A2,'Test Execution'!$A$2:$A$55,0))="","Not Executed",INDEX('Test Execution'!$H$2:$H$55,MATCH($A2,'Test Execution'!$A$2:$A$55,0))),"Not Executed")</f>
        <v>Not Executed</v>
      </c>
      <c r="K2" s="2" t="s">
        <v>9</v>
      </c>
    </row>
    <row r="3" spans="1:11" ht="50" x14ac:dyDescent="0.35">
      <c r="A3" s="2" t="s">
        <v>139</v>
      </c>
      <c r="B3" s="2" t="s">
        <v>6</v>
      </c>
      <c r="C3" s="3" t="s">
        <v>7</v>
      </c>
      <c r="D3" s="3" t="s">
        <v>140</v>
      </c>
      <c r="E3" s="3" t="s">
        <v>141</v>
      </c>
      <c r="F3" s="3" t="s">
        <v>142</v>
      </c>
      <c r="G3" s="3" t="s">
        <v>143</v>
      </c>
      <c r="H3" s="3" t="s">
        <v>144</v>
      </c>
      <c r="I3" s="4" t="str">
        <f>IFERROR(IF(INDEX('Test Execution'!$G$2:$G$55,MATCH($A3,'Test Execution'!$A$2:$A$55,0))="","Not Executed",INDEX('Test Execution'!$G$2:$G$55,MATCH($A3,'Test Execution'!$A$2:$A$55,0))),"Not Executed")</f>
        <v>Not Executed</v>
      </c>
      <c r="J3" s="4" t="str">
        <f>IFERROR(IF(INDEX('Test Execution'!$H$2:$H$55,MATCH($A3,'Test Execution'!$A$2:$A$55,0))="","Not Executed",INDEX('Test Execution'!$H$2:$H$55,MATCH($A3,'Test Execution'!$A$2:$A$55,0))),"Not Executed")</f>
        <v>Not Executed</v>
      </c>
      <c r="K3" s="2" t="s">
        <v>9</v>
      </c>
    </row>
    <row r="4" spans="1:11" ht="37.5" x14ac:dyDescent="0.35">
      <c r="A4" s="2" t="s">
        <v>145</v>
      </c>
      <c r="B4" s="2" t="s">
        <v>12</v>
      </c>
      <c r="C4" s="3" t="s">
        <v>7</v>
      </c>
      <c r="D4" s="3" t="s">
        <v>146</v>
      </c>
      <c r="E4" s="3" t="s">
        <v>141</v>
      </c>
      <c r="F4" s="3" t="s">
        <v>147</v>
      </c>
      <c r="G4" s="3" t="s">
        <v>148</v>
      </c>
      <c r="H4" s="3" t="s">
        <v>149</v>
      </c>
      <c r="I4" s="4" t="str">
        <f>IFERROR(IF(INDEX('Test Execution'!$G$2:$G$55,MATCH($A4,'Test Execution'!$A$2:$A$55,0))="","Not Executed",INDEX('Test Execution'!$G$2:$G$55,MATCH($A4,'Test Execution'!$A$2:$A$55,0))),"Not Executed")</f>
        <v>Not Executed</v>
      </c>
      <c r="J4" s="4" t="str">
        <f>IFERROR(IF(INDEX('Test Execution'!$H$2:$H$55,MATCH($A4,'Test Execution'!$A$2:$A$55,0))="","Not Executed",INDEX('Test Execution'!$H$2:$H$55,MATCH($A4,'Test Execution'!$A$2:$A$55,0))),"Not Executed")</f>
        <v>Not Executed</v>
      </c>
      <c r="K4" s="2" t="s">
        <v>14</v>
      </c>
    </row>
    <row r="5" spans="1:11" ht="37.5" x14ac:dyDescent="0.35">
      <c r="A5" s="2" t="s">
        <v>150</v>
      </c>
      <c r="B5" s="2" t="s">
        <v>17</v>
      </c>
      <c r="C5" s="3" t="s">
        <v>7</v>
      </c>
      <c r="D5" s="3" t="s">
        <v>151</v>
      </c>
      <c r="E5" s="3" t="s">
        <v>152</v>
      </c>
      <c r="F5" s="3" t="s">
        <v>153</v>
      </c>
      <c r="G5" s="3" t="s">
        <v>154</v>
      </c>
      <c r="H5" s="3" t="s">
        <v>155</v>
      </c>
      <c r="I5" s="4" t="str">
        <f>IFERROR(IF(INDEX('Test Execution'!$G$2:$G$55,MATCH($A5,'Test Execution'!$A$2:$A$55,0))="","Not Executed",INDEX('Test Execution'!$G$2:$G$55,MATCH($A5,'Test Execution'!$A$2:$A$55,0))),"Not Executed")</f>
        <v>Not Executed</v>
      </c>
      <c r="J5" s="4" t="str">
        <f>IFERROR(IF(INDEX('Test Execution'!$H$2:$H$55,MATCH($A5,'Test Execution'!$A$2:$A$55,0))="","Not Executed",INDEX('Test Execution'!$H$2:$H$55,MATCH($A5,'Test Execution'!$A$2:$A$55,0))),"Not Executed")</f>
        <v>Not Executed</v>
      </c>
      <c r="K5" s="2" t="s">
        <v>14</v>
      </c>
    </row>
    <row r="6" spans="1:11" ht="37.5" x14ac:dyDescent="0.35">
      <c r="A6" s="2" t="s">
        <v>156</v>
      </c>
      <c r="B6" s="2" t="s">
        <v>17</v>
      </c>
      <c r="C6" s="3" t="s">
        <v>7</v>
      </c>
      <c r="D6" s="3" t="s">
        <v>157</v>
      </c>
      <c r="E6" s="3" t="s">
        <v>158</v>
      </c>
      <c r="F6" s="3" t="s">
        <v>159</v>
      </c>
      <c r="G6" s="3" t="s">
        <v>160</v>
      </c>
      <c r="H6" s="3" t="s">
        <v>161</v>
      </c>
      <c r="I6" s="4" t="str">
        <f>IFERROR(IF(INDEX('Test Execution'!$G$2:$G$55,MATCH($A6,'Test Execution'!$A$2:$A$55,0))="","Not Executed",INDEX('Test Execution'!$G$2:$G$55,MATCH($A6,'Test Execution'!$A$2:$A$55,0))),"Not Executed")</f>
        <v>Not Executed</v>
      </c>
      <c r="J6" s="4" t="str">
        <f>IFERROR(IF(INDEX('Test Execution'!$H$2:$H$55,MATCH($A6,'Test Execution'!$A$2:$A$55,0))="","Not Executed",INDEX('Test Execution'!$H$2:$H$55,MATCH($A6,'Test Execution'!$A$2:$A$55,0))),"Not Executed")</f>
        <v>Not Executed</v>
      </c>
      <c r="K6" s="2" t="s">
        <v>9</v>
      </c>
    </row>
    <row r="7" spans="1:11" ht="37.5" x14ac:dyDescent="0.35">
      <c r="A7" s="2" t="s">
        <v>162</v>
      </c>
      <c r="B7" s="2" t="s">
        <v>17</v>
      </c>
      <c r="C7" s="3" t="s">
        <v>7</v>
      </c>
      <c r="D7" s="3" t="s">
        <v>163</v>
      </c>
      <c r="E7" s="3" t="s">
        <v>158</v>
      </c>
      <c r="F7" s="3" t="s">
        <v>164</v>
      </c>
      <c r="G7" s="3" t="s">
        <v>165</v>
      </c>
      <c r="H7" s="3" t="s">
        <v>166</v>
      </c>
      <c r="I7" s="4" t="str">
        <f>IFERROR(IF(INDEX('Test Execution'!$G$2:$G$55,MATCH($A7,'Test Execution'!$A$2:$A$55,0))="","Not Executed",INDEX('Test Execution'!$G$2:$G$55,MATCH($A7,'Test Execution'!$A$2:$A$55,0))),"Not Executed")</f>
        <v>Not Executed</v>
      </c>
      <c r="J7" s="4" t="str">
        <f>IFERROR(IF(INDEX('Test Execution'!$H$2:$H$55,MATCH($A7,'Test Execution'!$A$2:$A$55,0))="","Not Executed",INDEX('Test Execution'!$H$2:$H$55,MATCH($A7,'Test Execution'!$A$2:$A$55,0))),"Not Executed")</f>
        <v>Not Executed</v>
      </c>
      <c r="K7" s="2" t="s">
        <v>9</v>
      </c>
    </row>
    <row r="8" spans="1:11" ht="62.5" x14ac:dyDescent="0.35">
      <c r="A8" s="2" t="s">
        <v>167</v>
      </c>
      <c r="B8" s="2" t="s">
        <v>21</v>
      </c>
      <c r="C8" s="3" t="s">
        <v>7</v>
      </c>
      <c r="D8" s="3" t="s">
        <v>168</v>
      </c>
      <c r="E8" s="3" t="s">
        <v>169</v>
      </c>
      <c r="F8" s="3" t="s">
        <v>170</v>
      </c>
      <c r="G8" s="3" t="s">
        <v>171</v>
      </c>
      <c r="H8" s="3" t="s">
        <v>172</v>
      </c>
      <c r="I8" s="4" t="str">
        <f>IFERROR(IF(INDEX('Test Execution'!$G$2:$G$55,MATCH($A8,'Test Execution'!$A$2:$A$55,0))="","Not Executed",INDEX('Test Execution'!$G$2:$G$55,MATCH($A8,'Test Execution'!$A$2:$A$55,0))),"Not Executed")</f>
        <v>Not Executed</v>
      </c>
      <c r="J8" s="4" t="str">
        <f>IFERROR(IF(INDEX('Test Execution'!$H$2:$H$55,MATCH($A8,'Test Execution'!$A$2:$A$55,0))="","Not Executed",INDEX('Test Execution'!$H$2:$H$55,MATCH($A8,'Test Execution'!$A$2:$A$55,0))),"Not Executed")</f>
        <v>Not Executed</v>
      </c>
      <c r="K8" s="2" t="s">
        <v>9</v>
      </c>
    </row>
    <row r="9" spans="1:11" ht="62.5" x14ac:dyDescent="0.35">
      <c r="A9" s="2" t="s">
        <v>173</v>
      </c>
      <c r="B9" s="2" t="s">
        <v>25</v>
      </c>
      <c r="C9" s="3" t="s">
        <v>7</v>
      </c>
      <c r="D9" s="3" t="s">
        <v>174</v>
      </c>
      <c r="E9" s="3" t="s">
        <v>169</v>
      </c>
      <c r="F9" s="3" t="s">
        <v>175</v>
      </c>
      <c r="G9" s="3" t="s">
        <v>176</v>
      </c>
      <c r="H9" s="3" t="s">
        <v>177</v>
      </c>
      <c r="I9" s="4" t="str">
        <f>IFERROR(IF(INDEX('Test Execution'!$G$2:$G$55,MATCH($A9,'Test Execution'!$A$2:$A$55,0))="","Not Executed",INDEX('Test Execution'!$G$2:$G$55,MATCH($A9,'Test Execution'!$A$2:$A$55,0))),"Not Executed")</f>
        <v>Not Executed</v>
      </c>
      <c r="J9" s="4" t="str">
        <f>IFERROR(IF(INDEX('Test Execution'!$H$2:$H$55,MATCH($A9,'Test Execution'!$A$2:$A$55,0))="","Not Executed",INDEX('Test Execution'!$H$2:$H$55,MATCH($A9,'Test Execution'!$A$2:$A$55,0))),"Not Executed")</f>
        <v>Not Executed</v>
      </c>
      <c r="K9" s="2" t="s">
        <v>9</v>
      </c>
    </row>
    <row r="10" spans="1:11" ht="50" x14ac:dyDescent="0.35">
      <c r="A10" s="2" t="s">
        <v>178</v>
      </c>
      <c r="B10" s="2" t="s">
        <v>28</v>
      </c>
      <c r="C10" s="3" t="s">
        <v>29</v>
      </c>
      <c r="D10" s="3" t="s">
        <v>30</v>
      </c>
      <c r="E10" s="3" t="s">
        <v>141</v>
      </c>
      <c r="F10" s="3" t="s">
        <v>179</v>
      </c>
      <c r="G10" s="3" t="s">
        <v>180</v>
      </c>
      <c r="H10" s="3" t="s">
        <v>181</v>
      </c>
      <c r="I10" s="4" t="str">
        <f>IFERROR(IF(INDEX('Test Execution'!$G$2:$G$55,MATCH($A10,'Test Execution'!$A$2:$A$55,0))="","Not Executed",INDEX('Test Execution'!$G$2:$G$55,MATCH($A10,'Test Execution'!$A$2:$A$55,0))),"Not Executed")</f>
        <v>Not Executed</v>
      </c>
      <c r="J10" s="4" t="str">
        <f>IFERROR(IF(INDEX('Test Execution'!$H$2:$H$55,MATCH($A10,'Test Execution'!$A$2:$A$55,0))="","Not Executed",INDEX('Test Execution'!$H$2:$H$55,MATCH($A10,'Test Execution'!$A$2:$A$55,0))),"Not Executed")</f>
        <v>Not Executed</v>
      </c>
      <c r="K10" s="2" t="s">
        <v>14</v>
      </c>
    </row>
    <row r="11" spans="1:11" ht="50" x14ac:dyDescent="0.35">
      <c r="A11" s="2" t="s">
        <v>182</v>
      </c>
      <c r="B11" s="2" t="s">
        <v>32</v>
      </c>
      <c r="C11" s="3" t="s">
        <v>29</v>
      </c>
      <c r="D11" s="3" t="s">
        <v>183</v>
      </c>
      <c r="E11" s="3" t="s">
        <v>141</v>
      </c>
      <c r="F11" s="3" t="s">
        <v>184</v>
      </c>
      <c r="G11" s="3" t="s">
        <v>185</v>
      </c>
      <c r="H11" s="3" t="s">
        <v>186</v>
      </c>
      <c r="I11" s="4" t="str">
        <f>IFERROR(IF(INDEX('Test Execution'!$G$2:$G$55,MATCH($A11,'Test Execution'!$A$2:$A$55,0))="","Not Executed",INDEX('Test Execution'!$G$2:$G$55,MATCH($A11,'Test Execution'!$A$2:$A$55,0))),"Not Executed")</f>
        <v>Not Executed</v>
      </c>
      <c r="J11" s="4" t="str">
        <f>IFERROR(IF(INDEX('Test Execution'!$H$2:$H$55,MATCH($A11,'Test Execution'!$A$2:$A$55,0))="","Not Executed",INDEX('Test Execution'!$H$2:$H$55,MATCH($A11,'Test Execution'!$A$2:$A$55,0))),"Not Executed")</f>
        <v>Not Executed</v>
      </c>
      <c r="K11" s="2" t="s">
        <v>9</v>
      </c>
    </row>
    <row r="12" spans="1:11" ht="75" x14ac:dyDescent="0.35">
      <c r="A12" s="2" t="s">
        <v>187</v>
      </c>
      <c r="B12" s="2" t="s">
        <v>32</v>
      </c>
      <c r="C12" s="3" t="s">
        <v>29</v>
      </c>
      <c r="D12" s="3" t="s">
        <v>188</v>
      </c>
      <c r="E12" s="3" t="s">
        <v>141</v>
      </c>
      <c r="F12" s="3" t="s">
        <v>189</v>
      </c>
      <c r="G12" s="3" t="s">
        <v>190</v>
      </c>
      <c r="H12" s="3" t="s">
        <v>191</v>
      </c>
      <c r="I12" s="4" t="str">
        <f>IFERROR(IF(INDEX('Test Execution'!$G$2:$G$55,MATCH($A12,'Test Execution'!$A$2:$A$55,0))="","Not Executed",INDEX('Test Execution'!$G$2:$G$55,MATCH($A12,'Test Execution'!$A$2:$A$55,0))),"Not Executed")</f>
        <v>Not Executed</v>
      </c>
      <c r="J12" s="4" t="str">
        <f>IFERROR(IF(INDEX('Test Execution'!$H$2:$H$55,MATCH($A12,'Test Execution'!$A$2:$A$55,0))="","Not Executed",INDEX('Test Execution'!$H$2:$H$55,MATCH($A12,'Test Execution'!$A$2:$A$55,0))),"Not Executed")</f>
        <v>Not Executed</v>
      </c>
      <c r="K12" s="2" t="s">
        <v>9</v>
      </c>
    </row>
    <row r="13" spans="1:11" ht="62.5" x14ac:dyDescent="0.35">
      <c r="A13" s="2" t="s">
        <v>192</v>
      </c>
      <c r="B13" s="2" t="s">
        <v>36</v>
      </c>
      <c r="C13" s="3" t="s">
        <v>29</v>
      </c>
      <c r="D13" s="3" t="s">
        <v>193</v>
      </c>
      <c r="E13" s="3" t="s">
        <v>141</v>
      </c>
      <c r="F13" s="3" t="s">
        <v>194</v>
      </c>
      <c r="G13" s="3" t="s">
        <v>195</v>
      </c>
      <c r="H13" s="3" t="s">
        <v>196</v>
      </c>
      <c r="I13" s="4" t="str">
        <f>IFERROR(IF(INDEX('Test Execution'!$G$2:$G$55,MATCH($A13,'Test Execution'!$A$2:$A$55,0))="","Not Executed",INDEX('Test Execution'!$G$2:$G$55,MATCH($A13,'Test Execution'!$A$2:$A$55,0))),"Not Executed")</f>
        <v>Not Executed</v>
      </c>
      <c r="J13" s="4" t="str">
        <f>IFERROR(IF(INDEX('Test Execution'!$H$2:$H$55,MATCH($A13,'Test Execution'!$A$2:$A$55,0))="","Not Executed",INDEX('Test Execution'!$H$2:$H$55,MATCH($A13,'Test Execution'!$A$2:$A$55,0))),"Not Executed")</f>
        <v>Not Executed</v>
      </c>
      <c r="K13" s="2" t="s">
        <v>14</v>
      </c>
    </row>
    <row r="14" spans="1:11" ht="50" x14ac:dyDescent="0.35">
      <c r="A14" s="2" t="s">
        <v>197</v>
      </c>
      <c r="B14" s="2" t="s">
        <v>40</v>
      </c>
      <c r="C14" s="3" t="s">
        <v>29</v>
      </c>
      <c r="D14" s="3" t="s">
        <v>198</v>
      </c>
      <c r="E14" s="3" t="s">
        <v>141</v>
      </c>
      <c r="F14" s="3" t="s">
        <v>199</v>
      </c>
      <c r="G14" s="3" t="s">
        <v>200</v>
      </c>
      <c r="H14" s="3" t="s">
        <v>201</v>
      </c>
      <c r="I14" s="4" t="str">
        <f>IFERROR(IF(INDEX('Test Execution'!$G$2:$G$55,MATCH($A14,'Test Execution'!$A$2:$A$55,0))="","Not Executed",INDEX('Test Execution'!$G$2:$G$55,MATCH($A14,'Test Execution'!$A$2:$A$55,0))),"Not Executed")</f>
        <v>Not Executed</v>
      </c>
      <c r="J14" s="4" t="str">
        <f>IFERROR(IF(INDEX('Test Execution'!$H$2:$H$55,MATCH($A14,'Test Execution'!$A$2:$A$55,0))="","Not Executed",INDEX('Test Execution'!$H$2:$H$55,MATCH($A14,'Test Execution'!$A$2:$A$55,0))),"Not Executed")</f>
        <v>Not Executed</v>
      </c>
      <c r="K14" s="2" t="s">
        <v>9</v>
      </c>
    </row>
    <row r="15" spans="1:11" ht="50" x14ac:dyDescent="0.35">
      <c r="A15" s="2" t="s">
        <v>202</v>
      </c>
      <c r="B15" s="2" t="s">
        <v>44</v>
      </c>
      <c r="C15" s="3" t="s">
        <v>29</v>
      </c>
      <c r="D15" s="3" t="s">
        <v>203</v>
      </c>
      <c r="E15" s="3" t="s">
        <v>141</v>
      </c>
      <c r="F15" s="3" t="s">
        <v>204</v>
      </c>
      <c r="G15" s="3" t="s">
        <v>205</v>
      </c>
      <c r="H15" s="3" t="s">
        <v>206</v>
      </c>
      <c r="I15" s="4" t="str">
        <f>IFERROR(IF(INDEX('Test Execution'!$G$2:$G$55,MATCH($A15,'Test Execution'!$A$2:$A$55,0))="","Not Executed",INDEX('Test Execution'!$G$2:$G$55,MATCH($A15,'Test Execution'!$A$2:$A$55,0))),"Not Executed")</f>
        <v>Not Executed</v>
      </c>
      <c r="J15" s="4" t="str">
        <f>IFERROR(IF(INDEX('Test Execution'!$H$2:$H$55,MATCH($A15,'Test Execution'!$A$2:$A$55,0))="","Not Executed",INDEX('Test Execution'!$H$2:$H$55,MATCH($A15,'Test Execution'!$A$2:$A$55,0))),"Not Executed")</f>
        <v>Not Executed</v>
      </c>
      <c r="K15" s="2" t="s">
        <v>9</v>
      </c>
    </row>
    <row r="16" spans="1:11" ht="50" x14ac:dyDescent="0.35">
      <c r="A16" s="2" t="s">
        <v>207</v>
      </c>
      <c r="B16" s="2" t="s">
        <v>48</v>
      </c>
      <c r="C16" s="3" t="s">
        <v>49</v>
      </c>
      <c r="D16" s="3" t="s">
        <v>208</v>
      </c>
      <c r="E16" s="3" t="s">
        <v>135</v>
      </c>
      <c r="F16" s="3" t="s">
        <v>209</v>
      </c>
      <c r="G16" s="3" t="s">
        <v>137</v>
      </c>
      <c r="H16" s="3" t="s">
        <v>210</v>
      </c>
      <c r="I16" s="4" t="str">
        <f>IFERROR(IF(INDEX('Test Execution'!$G$2:$G$55,MATCH($A16,'Test Execution'!$A$2:$A$55,0))="","Not Executed",INDEX('Test Execution'!$G$2:$G$55,MATCH($A16,'Test Execution'!$A$2:$A$55,0))),"Not Executed")</f>
        <v>Not Executed</v>
      </c>
      <c r="J16" s="4" t="str">
        <f>IFERROR(IF(INDEX('Test Execution'!$H$2:$H$55,MATCH($A16,'Test Execution'!$A$2:$A$55,0))="","Not Executed",INDEX('Test Execution'!$H$2:$H$55,MATCH($A16,'Test Execution'!$A$2:$A$55,0))),"Not Executed")</f>
        <v>Not Executed</v>
      </c>
      <c r="K16" s="2" t="s">
        <v>9</v>
      </c>
    </row>
    <row r="17" spans="1:11" ht="37.5" x14ac:dyDescent="0.35">
      <c r="A17" s="2" t="s">
        <v>211</v>
      </c>
      <c r="B17" s="2" t="s">
        <v>52</v>
      </c>
      <c r="C17" s="3" t="s">
        <v>49</v>
      </c>
      <c r="D17" s="3" t="s">
        <v>212</v>
      </c>
      <c r="E17" s="3" t="s">
        <v>141</v>
      </c>
      <c r="F17" s="3" t="s">
        <v>213</v>
      </c>
      <c r="G17" s="3" t="s">
        <v>214</v>
      </c>
      <c r="H17" s="3" t="s">
        <v>215</v>
      </c>
      <c r="I17" s="4" t="str">
        <f>IFERROR(IF(INDEX('Test Execution'!$G$2:$G$55,MATCH($A17,'Test Execution'!$A$2:$A$55,0))="","Not Executed",INDEX('Test Execution'!$G$2:$G$55,MATCH($A17,'Test Execution'!$A$2:$A$55,0))),"Not Executed")</f>
        <v>Not Executed</v>
      </c>
      <c r="J17" s="4" t="str">
        <f>IFERROR(IF(INDEX('Test Execution'!$H$2:$H$55,MATCH($A17,'Test Execution'!$A$2:$A$55,0))="","Not Executed",INDEX('Test Execution'!$H$2:$H$55,MATCH($A17,'Test Execution'!$A$2:$A$55,0))),"Not Executed")</f>
        <v>Not Executed</v>
      </c>
      <c r="K17" s="2" t="s">
        <v>9</v>
      </c>
    </row>
    <row r="18" spans="1:11" ht="37.5" x14ac:dyDescent="0.35">
      <c r="A18" s="2" t="s">
        <v>216</v>
      </c>
      <c r="B18" s="2" t="s">
        <v>52</v>
      </c>
      <c r="C18" s="3" t="s">
        <v>49</v>
      </c>
      <c r="D18" s="3" t="s">
        <v>217</v>
      </c>
      <c r="E18" s="3" t="s">
        <v>141</v>
      </c>
      <c r="F18" s="3" t="s">
        <v>218</v>
      </c>
      <c r="G18" s="3" t="s">
        <v>219</v>
      </c>
      <c r="H18" s="3" t="s">
        <v>220</v>
      </c>
      <c r="I18" s="4" t="str">
        <f>IFERROR(IF(INDEX('Test Execution'!$G$2:$G$55,MATCH($A18,'Test Execution'!$A$2:$A$55,0))="","Not Executed",INDEX('Test Execution'!$G$2:$G$55,MATCH($A18,'Test Execution'!$A$2:$A$55,0))),"Not Executed")</f>
        <v>Not Executed</v>
      </c>
      <c r="J18" s="4" t="str">
        <f>IFERROR(IF(INDEX('Test Execution'!$H$2:$H$55,MATCH($A18,'Test Execution'!$A$2:$A$55,0))="","Not Executed",INDEX('Test Execution'!$H$2:$H$55,MATCH($A18,'Test Execution'!$A$2:$A$55,0))),"Not Executed")</f>
        <v>Not Executed</v>
      </c>
      <c r="K18" s="2" t="s">
        <v>9</v>
      </c>
    </row>
    <row r="19" spans="1:11" ht="37.5" x14ac:dyDescent="0.35">
      <c r="A19" s="2" t="s">
        <v>221</v>
      </c>
      <c r="B19" s="2" t="s">
        <v>52</v>
      </c>
      <c r="C19" s="3" t="s">
        <v>49</v>
      </c>
      <c r="D19" s="3" t="s">
        <v>222</v>
      </c>
      <c r="E19" s="3" t="s">
        <v>141</v>
      </c>
      <c r="F19" s="3" t="s">
        <v>223</v>
      </c>
      <c r="G19" s="3" t="s">
        <v>224</v>
      </c>
      <c r="H19" s="3" t="s">
        <v>225</v>
      </c>
      <c r="I19" s="4" t="str">
        <f>IFERROR(IF(INDEX('Test Execution'!$G$2:$G$55,MATCH($A19,'Test Execution'!$A$2:$A$55,0))="","Not Executed",INDEX('Test Execution'!$G$2:$G$55,MATCH($A19,'Test Execution'!$A$2:$A$55,0))),"Not Executed")</f>
        <v>Not Executed</v>
      </c>
      <c r="J19" s="4" t="str">
        <f>IFERROR(IF(INDEX('Test Execution'!$H$2:$H$55,MATCH($A19,'Test Execution'!$A$2:$A$55,0))="","Not Executed",INDEX('Test Execution'!$H$2:$H$55,MATCH($A19,'Test Execution'!$A$2:$A$55,0))),"Not Executed")</f>
        <v>Not Executed</v>
      </c>
      <c r="K19" s="2" t="s">
        <v>9</v>
      </c>
    </row>
    <row r="20" spans="1:11" ht="37.5" x14ac:dyDescent="0.35">
      <c r="A20" s="2" t="s">
        <v>226</v>
      </c>
      <c r="B20" s="2" t="s">
        <v>52</v>
      </c>
      <c r="C20" s="3" t="s">
        <v>49</v>
      </c>
      <c r="D20" s="3" t="s">
        <v>227</v>
      </c>
      <c r="E20" s="3" t="s">
        <v>141</v>
      </c>
      <c r="F20" s="3" t="s">
        <v>228</v>
      </c>
      <c r="G20" s="3" t="s">
        <v>229</v>
      </c>
      <c r="H20" s="3" t="s">
        <v>230</v>
      </c>
      <c r="I20" s="4" t="str">
        <f>IFERROR(IF(INDEX('Test Execution'!$G$2:$G$55,MATCH($A20,'Test Execution'!$A$2:$A$55,0))="","Not Executed",INDEX('Test Execution'!$G$2:$G$55,MATCH($A20,'Test Execution'!$A$2:$A$55,0))),"Not Executed")</f>
        <v>Not Executed</v>
      </c>
      <c r="J20" s="4" t="str">
        <f>IFERROR(IF(INDEX('Test Execution'!$H$2:$H$55,MATCH($A20,'Test Execution'!$A$2:$A$55,0))="","Not Executed",INDEX('Test Execution'!$H$2:$H$55,MATCH($A20,'Test Execution'!$A$2:$A$55,0))),"Not Executed")</f>
        <v>Not Executed</v>
      </c>
      <c r="K20" s="2" t="s">
        <v>9</v>
      </c>
    </row>
    <row r="21" spans="1:11" ht="37.5" x14ac:dyDescent="0.35">
      <c r="A21" s="2" t="s">
        <v>231</v>
      </c>
      <c r="B21" s="2" t="s">
        <v>52</v>
      </c>
      <c r="C21" s="3" t="s">
        <v>49</v>
      </c>
      <c r="D21" s="3" t="s">
        <v>232</v>
      </c>
      <c r="E21" s="3" t="s">
        <v>141</v>
      </c>
      <c r="F21" s="3" t="s">
        <v>233</v>
      </c>
      <c r="G21" s="3" t="s">
        <v>234</v>
      </c>
      <c r="H21" s="3" t="s">
        <v>235</v>
      </c>
      <c r="I21" s="4" t="str">
        <f>IFERROR(IF(INDEX('Test Execution'!$G$2:$G$55,MATCH($A21,'Test Execution'!$A$2:$A$55,0))="","Not Executed",INDEX('Test Execution'!$G$2:$G$55,MATCH($A21,'Test Execution'!$A$2:$A$55,0))),"Not Executed")</f>
        <v>Not Executed</v>
      </c>
      <c r="J21" s="4" t="str">
        <f>IFERROR(IF(INDEX('Test Execution'!$H$2:$H$55,MATCH($A21,'Test Execution'!$A$2:$A$55,0))="","Not Executed",INDEX('Test Execution'!$H$2:$H$55,MATCH($A21,'Test Execution'!$A$2:$A$55,0))),"Not Executed")</f>
        <v>Not Executed</v>
      </c>
      <c r="K21" s="2" t="s">
        <v>9</v>
      </c>
    </row>
    <row r="22" spans="1:11" ht="37.5" x14ac:dyDescent="0.35">
      <c r="A22" s="2" t="s">
        <v>236</v>
      </c>
      <c r="B22" s="2" t="s">
        <v>52</v>
      </c>
      <c r="C22" s="3" t="s">
        <v>49</v>
      </c>
      <c r="D22" s="3" t="s">
        <v>237</v>
      </c>
      <c r="E22" s="3" t="s">
        <v>141</v>
      </c>
      <c r="F22" s="3" t="s">
        <v>238</v>
      </c>
      <c r="G22" s="3" t="s">
        <v>239</v>
      </c>
      <c r="H22" s="3" t="s">
        <v>240</v>
      </c>
      <c r="I22" s="4" t="str">
        <f>IFERROR(IF(INDEX('Test Execution'!$G$2:$G$55,MATCH($A22,'Test Execution'!$A$2:$A$55,0))="","Not Executed",INDEX('Test Execution'!$G$2:$G$55,MATCH($A22,'Test Execution'!$A$2:$A$55,0))),"Not Executed")</f>
        <v>Not Executed</v>
      </c>
      <c r="J22" s="4" t="str">
        <f>IFERROR(IF(INDEX('Test Execution'!$H$2:$H$55,MATCH($A22,'Test Execution'!$A$2:$A$55,0))="","Not Executed",INDEX('Test Execution'!$H$2:$H$55,MATCH($A22,'Test Execution'!$A$2:$A$55,0))),"Not Executed")</f>
        <v>Not Executed</v>
      </c>
      <c r="K22" s="2" t="s">
        <v>9</v>
      </c>
    </row>
    <row r="23" spans="1:11" ht="62.5" x14ac:dyDescent="0.35">
      <c r="A23" s="2" t="s">
        <v>241</v>
      </c>
      <c r="B23" s="2" t="s">
        <v>56</v>
      </c>
      <c r="C23" s="3" t="s">
        <v>49</v>
      </c>
      <c r="D23" s="3" t="s">
        <v>242</v>
      </c>
      <c r="E23" s="3" t="s">
        <v>141</v>
      </c>
      <c r="F23" s="3" t="s">
        <v>243</v>
      </c>
      <c r="G23" s="3" t="s">
        <v>244</v>
      </c>
      <c r="H23" s="3" t="s">
        <v>245</v>
      </c>
      <c r="I23" s="4" t="str">
        <f>IFERROR(IF(INDEX('Test Execution'!$G$2:$G$55,MATCH($A23,'Test Execution'!$A$2:$A$55,0))="","Not Executed",INDEX('Test Execution'!$G$2:$G$55,MATCH($A23,'Test Execution'!$A$2:$A$55,0))),"Not Executed")</f>
        <v>Not Executed</v>
      </c>
      <c r="J23" s="4" t="str">
        <f>IFERROR(IF(INDEX('Test Execution'!$H$2:$H$55,MATCH($A23,'Test Execution'!$A$2:$A$55,0))="","Not Executed",INDEX('Test Execution'!$H$2:$H$55,MATCH($A23,'Test Execution'!$A$2:$A$55,0))),"Not Executed")</f>
        <v>Not Executed</v>
      </c>
      <c r="K23" s="2" t="s">
        <v>9</v>
      </c>
    </row>
    <row r="24" spans="1:11" ht="62.5" x14ac:dyDescent="0.35">
      <c r="A24" s="2" t="s">
        <v>246</v>
      </c>
      <c r="B24" s="2" t="s">
        <v>60</v>
      </c>
      <c r="C24" s="3" t="s">
        <v>49</v>
      </c>
      <c r="D24" s="3" t="s">
        <v>247</v>
      </c>
      <c r="E24" s="3" t="s">
        <v>141</v>
      </c>
      <c r="F24" s="3" t="s">
        <v>248</v>
      </c>
      <c r="G24" s="3" t="s">
        <v>249</v>
      </c>
      <c r="H24" s="3" t="s">
        <v>250</v>
      </c>
      <c r="I24" s="4" t="str">
        <f>IFERROR(IF(INDEX('Test Execution'!$G$2:$G$55,MATCH($A24,'Test Execution'!$A$2:$A$55,0))="","Not Executed",INDEX('Test Execution'!$G$2:$G$55,MATCH($A24,'Test Execution'!$A$2:$A$55,0))),"Not Executed")</f>
        <v>Not Executed</v>
      </c>
      <c r="J24" s="4" t="str">
        <f>IFERROR(IF(INDEX('Test Execution'!$H$2:$H$55,MATCH($A24,'Test Execution'!$A$2:$A$55,0))="","Not Executed",INDEX('Test Execution'!$H$2:$H$55,MATCH($A24,'Test Execution'!$A$2:$A$55,0))),"Not Executed")</f>
        <v>Not Executed</v>
      </c>
      <c r="K24" s="2" t="s">
        <v>14</v>
      </c>
    </row>
    <row r="25" spans="1:11" ht="112.5" x14ac:dyDescent="0.35">
      <c r="A25" s="2" t="s">
        <v>251</v>
      </c>
      <c r="B25" s="2" t="s">
        <v>63</v>
      </c>
      <c r="C25" s="3" t="s">
        <v>49</v>
      </c>
      <c r="D25" s="3" t="s">
        <v>252</v>
      </c>
      <c r="E25" s="3" t="s">
        <v>141</v>
      </c>
      <c r="F25" s="3" t="s">
        <v>253</v>
      </c>
      <c r="G25" s="3" t="s">
        <v>254</v>
      </c>
      <c r="H25" s="3" t="s">
        <v>535</v>
      </c>
      <c r="I25" s="4" t="str">
        <f>IFERROR(IF(INDEX('Test Execution'!$G$2:$G$55,MATCH($A25,'Test Execution'!$A$2:$A$55,0))="","Not Executed",INDEX('Test Execution'!$G$2:$G$55,MATCH($A25,'Test Execution'!$A$2:$A$55,0))),"Not Executed")</f>
        <v>Not Executed</v>
      </c>
      <c r="J25" s="4" t="str">
        <f>IFERROR(IF(INDEX('Test Execution'!$H$2:$H$55,MATCH($A25,'Test Execution'!$A$2:$A$55,0))="","Not Executed",INDEX('Test Execution'!$H$2:$H$55,MATCH($A25,'Test Execution'!$A$2:$A$55,0))),"Not Executed")</f>
        <v>Not Executed</v>
      </c>
      <c r="K25" s="2" t="s">
        <v>14</v>
      </c>
    </row>
    <row r="26" spans="1:11" ht="62.5" x14ac:dyDescent="0.35">
      <c r="A26" s="2" t="s">
        <v>255</v>
      </c>
      <c r="B26" s="2" t="s">
        <v>67</v>
      </c>
      <c r="C26" s="3" t="s">
        <v>68</v>
      </c>
      <c r="D26" s="3" t="s">
        <v>256</v>
      </c>
      <c r="E26" s="3" t="s">
        <v>135</v>
      </c>
      <c r="F26" s="3" t="s">
        <v>257</v>
      </c>
      <c r="G26" s="3" t="s">
        <v>258</v>
      </c>
      <c r="H26" s="3" t="s">
        <v>259</v>
      </c>
      <c r="I26" s="4" t="str">
        <f>IFERROR(IF(INDEX('Test Execution'!$G$2:$G$55,MATCH($A26,'Test Execution'!$A$2:$A$55,0))="","Not Executed",INDEX('Test Execution'!$G$2:$G$55,MATCH($A26,'Test Execution'!$A$2:$A$55,0))),"Not Executed")</f>
        <v>Not Executed</v>
      </c>
      <c r="J26" s="4" t="str">
        <f>IFERROR(IF(INDEX('Test Execution'!$H$2:$H$55,MATCH($A26,'Test Execution'!$A$2:$A$55,0))="","Not Executed",INDEX('Test Execution'!$H$2:$H$55,MATCH($A26,'Test Execution'!$A$2:$A$55,0))),"Not Executed")</f>
        <v>Not Executed</v>
      </c>
      <c r="K26" s="2" t="s">
        <v>9</v>
      </c>
    </row>
    <row r="27" spans="1:11" ht="50" x14ac:dyDescent="0.35">
      <c r="A27" s="2" t="s">
        <v>260</v>
      </c>
      <c r="B27" s="2" t="s">
        <v>67</v>
      </c>
      <c r="C27" s="3" t="s">
        <v>68</v>
      </c>
      <c r="D27" s="3" t="s">
        <v>261</v>
      </c>
      <c r="E27" s="3" t="s">
        <v>135</v>
      </c>
      <c r="F27" s="3" t="s">
        <v>262</v>
      </c>
      <c r="G27" s="3" t="s">
        <v>263</v>
      </c>
      <c r="H27" s="3" t="s">
        <v>264</v>
      </c>
      <c r="I27" s="4" t="str">
        <f>IFERROR(IF(INDEX('Test Execution'!$G$2:$G$55,MATCH($A27,'Test Execution'!$A$2:$A$55,0))="","Not Executed",INDEX('Test Execution'!$G$2:$G$55,MATCH($A27,'Test Execution'!$A$2:$A$55,0))),"Not Executed")</f>
        <v>Not Executed</v>
      </c>
      <c r="J27" s="4" t="str">
        <f>IFERROR(IF(INDEX('Test Execution'!$H$2:$H$55,MATCH($A27,'Test Execution'!$A$2:$A$55,0))="","Not Executed",INDEX('Test Execution'!$H$2:$H$55,MATCH($A27,'Test Execution'!$A$2:$A$55,0))),"Not Executed")</f>
        <v>Not Executed</v>
      </c>
      <c r="K27" s="2" t="s">
        <v>9</v>
      </c>
    </row>
    <row r="28" spans="1:11" ht="50" x14ac:dyDescent="0.35">
      <c r="A28" s="2" t="s">
        <v>265</v>
      </c>
      <c r="B28" s="2" t="s">
        <v>67</v>
      </c>
      <c r="C28" s="3" t="s">
        <v>68</v>
      </c>
      <c r="D28" s="3" t="s">
        <v>266</v>
      </c>
      <c r="E28" s="3" t="s">
        <v>135</v>
      </c>
      <c r="F28" s="3" t="s">
        <v>267</v>
      </c>
      <c r="G28" s="3" t="s">
        <v>268</v>
      </c>
      <c r="H28" s="3" t="s">
        <v>269</v>
      </c>
      <c r="I28" s="4" t="str">
        <f>IFERROR(IF(INDEX('Test Execution'!$G$2:$G$55,MATCH($A28,'Test Execution'!$A$2:$A$55,0))="","Not Executed",INDEX('Test Execution'!$G$2:$G$55,MATCH($A28,'Test Execution'!$A$2:$A$55,0))),"Not Executed")</f>
        <v>Not Executed</v>
      </c>
      <c r="J28" s="4" t="str">
        <f>IFERROR(IF(INDEX('Test Execution'!$H$2:$H$55,MATCH($A28,'Test Execution'!$A$2:$A$55,0))="","Not Executed",INDEX('Test Execution'!$H$2:$H$55,MATCH($A28,'Test Execution'!$A$2:$A$55,0))),"Not Executed")</f>
        <v>Not Executed</v>
      </c>
      <c r="K28" s="2" t="s">
        <v>9</v>
      </c>
    </row>
    <row r="29" spans="1:11" ht="37.5" x14ac:dyDescent="0.35">
      <c r="A29" s="2" t="s">
        <v>270</v>
      </c>
      <c r="B29" s="2" t="s">
        <v>67</v>
      </c>
      <c r="C29" s="3" t="s">
        <v>68</v>
      </c>
      <c r="D29" s="3" t="s">
        <v>271</v>
      </c>
      <c r="E29" s="3" t="s">
        <v>135</v>
      </c>
      <c r="F29" s="3" t="s">
        <v>272</v>
      </c>
      <c r="G29" s="3" t="s">
        <v>273</v>
      </c>
      <c r="H29" s="3" t="s">
        <v>274</v>
      </c>
      <c r="I29" s="4" t="str">
        <f>IFERROR(IF(INDEX('Test Execution'!$G$2:$G$55,MATCH($A29,'Test Execution'!$A$2:$A$55,0))="","Not Executed",INDEX('Test Execution'!$G$2:$G$55,MATCH($A29,'Test Execution'!$A$2:$A$55,0))),"Not Executed")</f>
        <v>Not Executed</v>
      </c>
      <c r="J29" s="4" t="str">
        <f>IFERROR(IF(INDEX('Test Execution'!$H$2:$H$55,MATCH($A29,'Test Execution'!$A$2:$A$55,0))="","Not Executed",INDEX('Test Execution'!$H$2:$H$55,MATCH($A29,'Test Execution'!$A$2:$A$55,0))),"Not Executed")</f>
        <v>Not Executed</v>
      </c>
      <c r="K29" s="2" t="s">
        <v>14</v>
      </c>
    </row>
    <row r="30" spans="1:11" ht="37.5" x14ac:dyDescent="0.35">
      <c r="A30" s="2" t="s">
        <v>275</v>
      </c>
      <c r="B30" s="2" t="s">
        <v>67</v>
      </c>
      <c r="C30" s="3" t="s">
        <v>68</v>
      </c>
      <c r="D30" s="3" t="s">
        <v>276</v>
      </c>
      <c r="E30" s="3" t="s">
        <v>135</v>
      </c>
      <c r="F30" s="3" t="s">
        <v>277</v>
      </c>
      <c r="G30" s="3" t="s">
        <v>278</v>
      </c>
      <c r="H30" s="3" t="s">
        <v>279</v>
      </c>
      <c r="I30" s="4" t="str">
        <f>IFERROR(IF(INDEX('Test Execution'!$G$2:$G$55,MATCH($A30,'Test Execution'!$A$2:$A$55,0))="","Not Executed",INDEX('Test Execution'!$G$2:$G$55,MATCH($A30,'Test Execution'!$A$2:$A$55,0))),"Not Executed")</f>
        <v>Not Executed</v>
      </c>
      <c r="J30" s="4" t="str">
        <f>IFERROR(IF(INDEX('Test Execution'!$H$2:$H$55,MATCH($A30,'Test Execution'!$A$2:$A$55,0))="","Not Executed",INDEX('Test Execution'!$H$2:$H$55,MATCH($A30,'Test Execution'!$A$2:$A$55,0))),"Not Executed")</f>
        <v>Not Executed</v>
      </c>
      <c r="K30" s="2" t="s">
        <v>14</v>
      </c>
    </row>
    <row r="31" spans="1:11" ht="37.5" x14ac:dyDescent="0.35">
      <c r="A31" s="2" t="s">
        <v>280</v>
      </c>
      <c r="B31" s="2" t="s">
        <v>67</v>
      </c>
      <c r="C31" s="3" t="s">
        <v>68</v>
      </c>
      <c r="D31" s="3" t="s">
        <v>281</v>
      </c>
      <c r="E31" s="3" t="s">
        <v>135</v>
      </c>
      <c r="F31" s="3" t="s">
        <v>282</v>
      </c>
      <c r="G31" s="3" t="s">
        <v>283</v>
      </c>
      <c r="H31" s="3" t="s">
        <v>284</v>
      </c>
      <c r="I31" s="4" t="str">
        <f>IFERROR(IF(INDEX('Test Execution'!$G$2:$G$55,MATCH($A31,'Test Execution'!$A$2:$A$55,0))="","Not Executed",INDEX('Test Execution'!$G$2:$G$55,MATCH($A31,'Test Execution'!$A$2:$A$55,0))),"Not Executed")</f>
        <v>Not Executed</v>
      </c>
      <c r="J31" s="4" t="str">
        <f>IFERROR(IF(INDEX('Test Execution'!$H$2:$H$55,MATCH($A31,'Test Execution'!$A$2:$A$55,0))="","Not Executed",INDEX('Test Execution'!$H$2:$H$55,MATCH($A31,'Test Execution'!$A$2:$A$55,0))),"Not Executed")</f>
        <v>Not Executed</v>
      </c>
      <c r="K31" s="2" t="s">
        <v>14</v>
      </c>
    </row>
    <row r="32" spans="1:11" ht="37.5" x14ac:dyDescent="0.35">
      <c r="A32" s="2" t="s">
        <v>285</v>
      </c>
      <c r="B32" s="2" t="s">
        <v>67</v>
      </c>
      <c r="C32" s="3" t="s">
        <v>68</v>
      </c>
      <c r="D32" s="3" t="s">
        <v>286</v>
      </c>
      <c r="E32" s="3" t="s">
        <v>135</v>
      </c>
      <c r="F32" s="3" t="s">
        <v>287</v>
      </c>
      <c r="G32" s="3" t="s">
        <v>288</v>
      </c>
      <c r="H32" s="3" t="s">
        <v>289</v>
      </c>
      <c r="I32" s="4" t="str">
        <f>IFERROR(IF(INDEX('Test Execution'!$G$2:$G$55,MATCH($A32,'Test Execution'!$A$2:$A$55,0))="","Not Executed",INDEX('Test Execution'!$G$2:$G$55,MATCH($A32,'Test Execution'!$A$2:$A$55,0))),"Not Executed")</f>
        <v>Not Executed</v>
      </c>
      <c r="J32" s="4" t="str">
        <f>IFERROR(IF(INDEX('Test Execution'!$H$2:$H$55,MATCH($A32,'Test Execution'!$A$2:$A$55,0))="","Not Executed",INDEX('Test Execution'!$H$2:$H$55,MATCH($A32,'Test Execution'!$A$2:$A$55,0))),"Not Executed")</f>
        <v>Not Executed</v>
      </c>
      <c r="K32" s="2" t="s">
        <v>14</v>
      </c>
    </row>
    <row r="33" spans="1:11" ht="62.5" x14ac:dyDescent="0.35">
      <c r="A33" s="2" t="s">
        <v>290</v>
      </c>
      <c r="B33" s="2" t="s">
        <v>71</v>
      </c>
      <c r="C33" s="3" t="s">
        <v>68</v>
      </c>
      <c r="D33" s="3" t="s">
        <v>291</v>
      </c>
      <c r="E33" s="3" t="s">
        <v>141</v>
      </c>
      <c r="F33" s="3" t="s">
        <v>292</v>
      </c>
      <c r="G33" s="3" t="s">
        <v>293</v>
      </c>
      <c r="H33" s="3" t="s">
        <v>294</v>
      </c>
      <c r="I33" s="4" t="str">
        <f>IFERROR(IF(INDEX('Test Execution'!$G$2:$G$55,MATCH($A33,'Test Execution'!$A$2:$A$55,0))="","Not Executed",INDEX('Test Execution'!$G$2:$G$55,MATCH($A33,'Test Execution'!$A$2:$A$55,0))),"Not Executed")</f>
        <v>Not Executed</v>
      </c>
      <c r="J33" s="4" t="str">
        <f>IFERROR(IF(INDEX('Test Execution'!$H$2:$H$55,MATCH($A33,'Test Execution'!$A$2:$A$55,0))="","Not Executed",INDEX('Test Execution'!$H$2:$H$55,MATCH($A33,'Test Execution'!$A$2:$A$55,0))),"Not Executed")</f>
        <v>Not Executed</v>
      </c>
      <c r="K33" s="2" t="s">
        <v>14</v>
      </c>
    </row>
    <row r="34" spans="1:11" ht="77" customHeight="1" x14ac:dyDescent="0.35">
      <c r="A34" s="2" t="s">
        <v>295</v>
      </c>
      <c r="B34" s="2" t="s">
        <v>74</v>
      </c>
      <c r="C34" s="3" t="s">
        <v>68</v>
      </c>
      <c r="D34" s="3" t="s">
        <v>530</v>
      </c>
      <c r="E34" s="3" t="s">
        <v>531</v>
      </c>
      <c r="F34" s="3" t="s">
        <v>532</v>
      </c>
      <c r="G34" s="3" t="s">
        <v>533</v>
      </c>
      <c r="H34" s="3" t="s">
        <v>534</v>
      </c>
      <c r="I34" s="4" t="str">
        <f>IFERROR(IF(INDEX('Test Execution'!$G$2:$G$55,MATCH($A34,'Test Execution'!$A$2:$A$55,0))="","Not Executed",INDEX('Test Execution'!$G$2:$G$55,MATCH($A34,'Test Execution'!$A$2:$A$55,0))),"Not Executed")</f>
        <v>Not Executed</v>
      </c>
      <c r="J34" s="4" t="str">
        <f>IFERROR(IF(INDEX('Test Execution'!$H$2:$H$55,MATCH($A34,'Test Execution'!$A$2:$A$55,0))="","Not Executed",INDEX('Test Execution'!$H$2:$H$55,MATCH($A34,'Test Execution'!$A$2:$A$55,0))),"Not Executed")</f>
        <v>Not Executed</v>
      </c>
      <c r="K34" s="2" t="s">
        <v>76</v>
      </c>
    </row>
    <row r="35" spans="1:11" ht="37.5" x14ac:dyDescent="0.35">
      <c r="A35" s="2" t="s">
        <v>296</v>
      </c>
      <c r="B35" s="2" t="s">
        <v>78</v>
      </c>
      <c r="C35" s="3" t="s">
        <v>68</v>
      </c>
      <c r="D35" s="3" t="s">
        <v>297</v>
      </c>
      <c r="E35" s="3" t="s">
        <v>298</v>
      </c>
      <c r="F35" s="3" t="s">
        <v>299</v>
      </c>
      <c r="G35" s="3" t="s">
        <v>300</v>
      </c>
      <c r="H35" s="3" t="s">
        <v>301</v>
      </c>
      <c r="I35" s="4" t="str">
        <f>IFERROR(IF(INDEX('Test Execution'!$G$2:$G$55,MATCH($A35,'Test Execution'!$A$2:$A$55,0))="","Not Executed",INDEX('Test Execution'!$G$2:$G$55,MATCH($A35,'Test Execution'!$A$2:$A$55,0))),"Not Executed")</f>
        <v>Not Executed</v>
      </c>
      <c r="J35" s="4" t="str">
        <f>IFERROR(IF(INDEX('Test Execution'!$H$2:$H$55,MATCH($A35,'Test Execution'!$A$2:$A$55,0))="","Not Executed",INDEX('Test Execution'!$H$2:$H$55,MATCH($A35,'Test Execution'!$A$2:$A$55,0))),"Not Executed")</f>
        <v>Not Executed</v>
      </c>
      <c r="K35" s="2" t="s">
        <v>9</v>
      </c>
    </row>
    <row r="36" spans="1:11" ht="37.5" x14ac:dyDescent="0.35">
      <c r="A36" s="2" t="s">
        <v>302</v>
      </c>
      <c r="B36" s="2" t="s">
        <v>78</v>
      </c>
      <c r="C36" s="3" t="s">
        <v>68</v>
      </c>
      <c r="D36" s="3" t="s">
        <v>303</v>
      </c>
      <c r="E36" s="3" t="s">
        <v>141</v>
      </c>
      <c r="F36" s="3" t="s">
        <v>304</v>
      </c>
      <c r="G36" s="3" t="s">
        <v>300</v>
      </c>
      <c r="H36" s="3" t="s">
        <v>305</v>
      </c>
      <c r="I36" s="4" t="str">
        <f>IFERROR(IF(INDEX('Test Execution'!$G$2:$G$55,MATCH($A36,'Test Execution'!$A$2:$A$55,0))="","Not Executed",INDEX('Test Execution'!$G$2:$G$55,MATCH($A36,'Test Execution'!$A$2:$A$55,0))),"Not Executed")</f>
        <v>Not Executed</v>
      </c>
      <c r="J36" s="4" t="str">
        <f>IFERROR(IF(INDEX('Test Execution'!$H$2:$H$55,MATCH($A36,'Test Execution'!$A$2:$A$55,0))="","Not Executed",INDEX('Test Execution'!$H$2:$H$55,MATCH($A36,'Test Execution'!$A$2:$A$55,0))),"Not Executed")</f>
        <v>Not Executed</v>
      </c>
      <c r="K36" s="2" t="s">
        <v>14</v>
      </c>
    </row>
    <row r="37" spans="1:11" ht="37.5" x14ac:dyDescent="0.35">
      <c r="A37" s="2" t="s">
        <v>306</v>
      </c>
      <c r="B37" s="2" t="s">
        <v>82</v>
      </c>
      <c r="C37" s="3" t="s">
        <v>68</v>
      </c>
      <c r="D37" s="3" t="s">
        <v>307</v>
      </c>
      <c r="E37" s="3" t="s">
        <v>298</v>
      </c>
      <c r="F37" s="3" t="s">
        <v>308</v>
      </c>
      <c r="G37" s="3" t="s">
        <v>309</v>
      </c>
      <c r="H37" s="3" t="s">
        <v>310</v>
      </c>
      <c r="I37" s="4" t="str">
        <f>IFERROR(IF(INDEX('Test Execution'!$G$2:$G$55,MATCH($A37,'Test Execution'!$A$2:$A$55,0))="","Not Executed",INDEX('Test Execution'!$G$2:$G$55,MATCH($A37,'Test Execution'!$A$2:$A$55,0))),"Not Executed")</f>
        <v>Not Executed</v>
      </c>
      <c r="J37" s="4" t="str">
        <f>IFERROR(IF(INDEX('Test Execution'!$H$2:$H$55,MATCH($A37,'Test Execution'!$A$2:$A$55,0))="","Not Executed",INDEX('Test Execution'!$H$2:$H$55,MATCH($A37,'Test Execution'!$A$2:$A$55,0))),"Not Executed")</f>
        <v>Not Executed</v>
      </c>
      <c r="K37" s="2" t="s">
        <v>9</v>
      </c>
    </row>
    <row r="38" spans="1:11" ht="50" x14ac:dyDescent="0.35">
      <c r="A38" s="2" t="s">
        <v>311</v>
      </c>
      <c r="B38" s="2" t="s">
        <v>85</v>
      </c>
      <c r="C38" s="3" t="s">
        <v>86</v>
      </c>
      <c r="D38" s="3" t="s">
        <v>312</v>
      </c>
      <c r="E38" s="3" t="s">
        <v>313</v>
      </c>
      <c r="F38" s="3" t="s">
        <v>314</v>
      </c>
      <c r="G38" s="3" t="s">
        <v>315</v>
      </c>
      <c r="H38" s="3" t="s">
        <v>316</v>
      </c>
      <c r="I38" s="4" t="str">
        <f>IFERROR(IF(INDEX('Test Execution'!$G$2:$G$55,MATCH($A38,'Test Execution'!$A$2:$A$55,0))="","Not Executed",INDEX('Test Execution'!$G$2:$G$55,MATCH($A38,'Test Execution'!$A$2:$A$55,0))),"Not Executed")</f>
        <v>Not Executed</v>
      </c>
      <c r="J38" s="4" t="str">
        <f>IFERROR(IF(INDEX('Test Execution'!$H$2:$H$55,MATCH($A38,'Test Execution'!$A$2:$A$55,0))="","Not Executed",INDEX('Test Execution'!$H$2:$H$55,MATCH($A38,'Test Execution'!$A$2:$A$55,0))),"Not Executed")</f>
        <v>Not Executed</v>
      </c>
      <c r="K38" s="2" t="s">
        <v>9</v>
      </c>
    </row>
    <row r="39" spans="1:11" ht="50" x14ac:dyDescent="0.35">
      <c r="A39" s="2" t="s">
        <v>317</v>
      </c>
      <c r="B39" s="2" t="s">
        <v>85</v>
      </c>
      <c r="C39" s="3" t="s">
        <v>86</v>
      </c>
      <c r="D39" s="3" t="s">
        <v>318</v>
      </c>
      <c r="E39" s="3" t="s">
        <v>313</v>
      </c>
      <c r="F39" s="3" t="s">
        <v>314</v>
      </c>
      <c r="G39" s="3" t="s">
        <v>319</v>
      </c>
      <c r="H39" s="3" t="s">
        <v>320</v>
      </c>
      <c r="I39" s="4" t="str">
        <f>IFERROR(IF(INDEX('Test Execution'!$G$2:$G$55,MATCH($A39,'Test Execution'!$A$2:$A$55,0))="","Not Executed",INDEX('Test Execution'!$G$2:$G$55,MATCH($A39,'Test Execution'!$A$2:$A$55,0))),"Not Executed")</f>
        <v>Not Executed</v>
      </c>
      <c r="J39" s="4" t="str">
        <f>IFERROR(IF(INDEX('Test Execution'!$H$2:$H$55,MATCH($A39,'Test Execution'!$A$2:$A$55,0))="","Not Executed",INDEX('Test Execution'!$H$2:$H$55,MATCH($A39,'Test Execution'!$A$2:$A$55,0))),"Not Executed")</f>
        <v>Not Executed</v>
      </c>
      <c r="K39" s="2" t="s">
        <v>9</v>
      </c>
    </row>
    <row r="40" spans="1:11" ht="62.5" x14ac:dyDescent="0.35">
      <c r="A40" s="2" t="s">
        <v>321</v>
      </c>
      <c r="B40" s="2" t="s">
        <v>85</v>
      </c>
      <c r="C40" s="3" t="s">
        <v>86</v>
      </c>
      <c r="D40" s="3" t="s">
        <v>322</v>
      </c>
      <c r="E40" s="3" t="s">
        <v>323</v>
      </c>
      <c r="F40" s="3" t="s">
        <v>324</v>
      </c>
      <c r="G40" s="3" t="s">
        <v>325</v>
      </c>
      <c r="H40" s="3" t="s">
        <v>326</v>
      </c>
      <c r="I40" s="4" t="str">
        <f>IFERROR(IF(INDEX('Test Execution'!$G$2:$G$55,MATCH($A40,'Test Execution'!$A$2:$A$55,0))="","Not Executed",INDEX('Test Execution'!$G$2:$G$55,MATCH($A40,'Test Execution'!$A$2:$A$55,0))),"Not Executed")</f>
        <v>Not Executed</v>
      </c>
      <c r="J40" s="4" t="str">
        <f>IFERROR(IF(INDEX('Test Execution'!$H$2:$H$55,MATCH($A40,'Test Execution'!$A$2:$A$55,0))="","Not Executed",INDEX('Test Execution'!$H$2:$H$55,MATCH($A40,'Test Execution'!$A$2:$A$55,0))),"Not Executed")</f>
        <v>Not Executed</v>
      </c>
      <c r="K40" s="2" t="s">
        <v>14</v>
      </c>
    </row>
    <row r="41" spans="1:11" ht="62.5" x14ac:dyDescent="0.35">
      <c r="A41" s="2" t="s">
        <v>327</v>
      </c>
      <c r="B41" s="2" t="s">
        <v>85</v>
      </c>
      <c r="C41" s="3" t="s">
        <v>86</v>
      </c>
      <c r="D41" s="3" t="s">
        <v>328</v>
      </c>
      <c r="E41" s="3" t="s">
        <v>323</v>
      </c>
      <c r="F41" s="3" t="s">
        <v>329</v>
      </c>
      <c r="G41" s="3" t="s">
        <v>330</v>
      </c>
      <c r="H41" s="3" t="s">
        <v>331</v>
      </c>
      <c r="I41" s="4" t="str">
        <f>IFERROR(IF(INDEX('Test Execution'!$G$2:$G$55,MATCH($A41,'Test Execution'!$A$2:$A$55,0))="","Not Executed",INDEX('Test Execution'!$G$2:$G$55,MATCH($A41,'Test Execution'!$A$2:$A$55,0))),"Not Executed")</f>
        <v>Not Executed</v>
      </c>
      <c r="J41" s="4" t="str">
        <f>IFERROR(IF(INDEX('Test Execution'!$H$2:$H$55,MATCH($A41,'Test Execution'!$A$2:$A$55,0))="","Not Executed",INDEX('Test Execution'!$H$2:$H$55,MATCH($A41,'Test Execution'!$A$2:$A$55,0))),"Not Executed")</f>
        <v>Not Executed</v>
      </c>
      <c r="K41" s="2" t="s">
        <v>14</v>
      </c>
    </row>
    <row r="42" spans="1:11" ht="50" x14ac:dyDescent="0.35">
      <c r="A42" s="2" t="s">
        <v>332</v>
      </c>
      <c r="B42" s="2" t="s">
        <v>89</v>
      </c>
      <c r="C42" s="3" t="s">
        <v>86</v>
      </c>
      <c r="D42" s="3" t="s">
        <v>333</v>
      </c>
      <c r="E42" s="3" t="s">
        <v>313</v>
      </c>
      <c r="F42" s="3" t="s">
        <v>334</v>
      </c>
      <c r="G42" s="3" t="s">
        <v>335</v>
      </c>
      <c r="H42" s="3" t="s">
        <v>336</v>
      </c>
      <c r="I42" s="4" t="str">
        <f>IFERROR(IF(INDEX('Test Execution'!$G$2:$G$55,MATCH($A42,'Test Execution'!$A$2:$A$55,0))="","Not Executed",INDEX('Test Execution'!$G$2:$G$55,MATCH($A42,'Test Execution'!$A$2:$A$55,0))),"Not Executed")</f>
        <v>Not Executed</v>
      </c>
      <c r="J42" s="4" t="str">
        <f>IFERROR(IF(INDEX('Test Execution'!$H$2:$H$55,MATCH($A42,'Test Execution'!$A$2:$A$55,0))="","Not Executed",INDEX('Test Execution'!$H$2:$H$55,MATCH($A42,'Test Execution'!$A$2:$A$55,0))),"Not Executed")</f>
        <v>Not Executed</v>
      </c>
      <c r="K42" s="2" t="s">
        <v>9</v>
      </c>
    </row>
    <row r="43" spans="1:11" ht="62.5" x14ac:dyDescent="0.35">
      <c r="A43" s="2" t="s">
        <v>337</v>
      </c>
      <c r="B43" s="2" t="s">
        <v>89</v>
      </c>
      <c r="C43" s="3" t="s">
        <v>86</v>
      </c>
      <c r="D43" s="3" t="s">
        <v>338</v>
      </c>
      <c r="E43" s="3" t="s">
        <v>141</v>
      </c>
      <c r="F43" s="3" t="s">
        <v>339</v>
      </c>
      <c r="G43" s="3" t="s">
        <v>340</v>
      </c>
      <c r="H43" s="3" t="s">
        <v>341</v>
      </c>
      <c r="I43" s="4" t="str">
        <f>IFERROR(IF(INDEX('Test Execution'!$G$2:$G$55,MATCH($A43,'Test Execution'!$A$2:$A$55,0))="","Not Executed",INDEX('Test Execution'!$G$2:$G$55,MATCH($A43,'Test Execution'!$A$2:$A$55,0))),"Not Executed")</f>
        <v>Not Executed</v>
      </c>
      <c r="J43" s="4" t="str">
        <f>IFERROR(IF(INDEX('Test Execution'!$H$2:$H$55,MATCH($A43,'Test Execution'!$A$2:$A$55,0))="","Not Executed",INDEX('Test Execution'!$H$2:$H$55,MATCH($A43,'Test Execution'!$A$2:$A$55,0))),"Not Executed")</f>
        <v>Not Executed</v>
      </c>
      <c r="K43" s="2" t="s">
        <v>14</v>
      </c>
    </row>
    <row r="44" spans="1:11" ht="62.5" x14ac:dyDescent="0.35">
      <c r="A44" s="2" t="s">
        <v>342</v>
      </c>
      <c r="B44" s="2" t="s">
        <v>92</v>
      </c>
      <c r="C44" s="3" t="s">
        <v>93</v>
      </c>
      <c r="D44" s="3" t="s">
        <v>343</v>
      </c>
      <c r="E44" s="3" t="s">
        <v>141</v>
      </c>
      <c r="F44" s="3" t="s">
        <v>344</v>
      </c>
      <c r="G44" s="3" t="s">
        <v>345</v>
      </c>
      <c r="H44" s="3" t="s">
        <v>346</v>
      </c>
      <c r="I44" s="4" t="str">
        <f>IFERROR(IF(INDEX('Test Execution'!$G$2:$G$55,MATCH($A44,'Test Execution'!$A$2:$A$55,0))="","Not Executed",INDEX('Test Execution'!$G$2:$G$55,MATCH($A44,'Test Execution'!$A$2:$A$55,0))),"Not Executed")</f>
        <v>Not Executed</v>
      </c>
      <c r="J44" s="4" t="str">
        <f>IFERROR(IF(INDEX('Test Execution'!$H$2:$H$55,MATCH($A44,'Test Execution'!$A$2:$A$55,0))="","Not Executed",INDEX('Test Execution'!$H$2:$H$55,MATCH($A44,'Test Execution'!$A$2:$A$55,0))),"Not Executed")</f>
        <v>Not Executed</v>
      </c>
      <c r="K44" s="2" t="s">
        <v>9</v>
      </c>
    </row>
    <row r="45" spans="1:11" ht="25" x14ac:dyDescent="0.35">
      <c r="A45" s="2" t="s">
        <v>347</v>
      </c>
      <c r="B45" s="2" t="s">
        <v>92</v>
      </c>
      <c r="C45" s="3" t="s">
        <v>93</v>
      </c>
      <c r="D45" s="3" t="s">
        <v>348</v>
      </c>
      <c r="E45" s="3" t="s">
        <v>141</v>
      </c>
      <c r="F45" s="3" t="s">
        <v>349</v>
      </c>
      <c r="G45" s="3" t="s">
        <v>350</v>
      </c>
      <c r="H45" s="3" t="s">
        <v>351</v>
      </c>
      <c r="I45" s="4" t="str">
        <f>IFERROR(IF(INDEX('Test Execution'!$G$2:$G$55,MATCH($A45,'Test Execution'!$A$2:$A$55,0))="","Not Executed",INDEX('Test Execution'!$G$2:$G$55,MATCH($A45,'Test Execution'!$A$2:$A$55,0))),"Not Executed")</f>
        <v>Not Executed</v>
      </c>
      <c r="J45" s="4" t="str">
        <f>IFERROR(IF(INDEX('Test Execution'!$H$2:$H$55,MATCH($A45,'Test Execution'!$A$2:$A$55,0))="","Not Executed",INDEX('Test Execution'!$H$2:$H$55,MATCH($A45,'Test Execution'!$A$2:$A$55,0))),"Not Executed")</f>
        <v>Not Executed</v>
      </c>
      <c r="K45" s="2" t="s">
        <v>76</v>
      </c>
    </row>
    <row r="46" spans="1:11" ht="37.5" x14ac:dyDescent="0.35">
      <c r="A46" s="2" t="s">
        <v>352</v>
      </c>
      <c r="B46" s="2" t="s">
        <v>97</v>
      </c>
      <c r="C46" s="3" t="s">
        <v>93</v>
      </c>
      <c r="D46" s="3" t="s">
        <v>98</v>
      </c>
      <c r="E46" s="3" t="s">
        <v>141</v>
      </c>
      <c r="F46" s="3" t="s">
        <v>353</v>
      </c>
      <c r="G46" s="3" t="s">
        <v>354</v>
      </c>
      <c r="H46" s="3" t="s">
        <v>355</v>
      </c>
      <c r="I46" s="4" t="str">
        <f>IFERROR(IF(INDEX('Test Execution'!$G$2:$G$55,MATCH($A46,'Test Execution'!$A$2:$A$55,0))="","Not Executed",INDEX('Test Execution'!$G$2:$G$55,MATCH($A46,'Test Execution'!$A$2:$A$55,0))),"Not Executed")</f>
        <v>Not Executed</v>
      </c>
      <c r="J46" s="4" t="str">
        <f>IFERROR(IF(INDEX('Test Execution'!$H$2:$H$55,MATCH($A46,'Test Execution'!$A$2:$A$55,0))="","Not Executed",INDEX('Test Execution'!$H$2:$H$55,MATCH($A46,'Test Execution'!$A$2:$A$55,0))),"Not Executed")</f>
        <v>Not Executed</v>
      </c>
      <c r="K46" s="2" t="s">
        <v>14</v>
      </c>
    </row>
    <row r="47" spans="1:11" ht="50" x14ac:dyDescent="0.35">
      <c r="A47" s="2" t="s">
        <v>356</v>
      </c>
      <c r="B47" s="2" t="s">
        <v>100</v>
      </c>
      <c r="C47" s="3" t="s">
        <v>93</v>
      </c>
      <c r="D47" s="3" t="s">
        <v>101</v>
      </c>
      <c r="E47" s="3" t="s">
        <v>141</v>
      </c>
      <c r="F47" s="3" t="s">
        <v>357</v>
      </c>
      <c r="G47" s="3" t="s">
        <v>358</v>
      </c>
      <c r="H47" s="3" t="s">
        <v>359</v>
      </c>
      <c r="I47" s="4" t="str">
        <f>IFERROR(IF(INDEX('Test Execution'!$G$2:$G$55,MATCH($A47,'Test Execution'!$A$2:$A$55,0))="","Not Executed",INDEX('Test Execution'!$G$2:$G$55,MATCH($A47,'Test Execution'!$A$2:$A$55,0))),"Not Executed")</f>
        <v>Not Executed</v>
      </c>
      <c r="J47" s="4" t="str">
        <f>IFERROR(IF(INDEX('Test Execution'!$H$2:$H$55,MATCH($A47,'Test Execution'!$A$2:$A$55,0))="","Not Executed",INDEX('Test Execution'!$H$2:$H$55,MATCH($A47,'Test Execution'!$A$2:$A$55,0))),"Not Executed")</f>
        <v>Not Executed</v>
      </c>
      <c r="K47" s="2" t="s">
        <v>14</v>
      </c>
    </row>
    <row r="48" spans="1:11" ht="75" x14ac:dyDescent="0.35">
      <c r="A48" s="2" t="s">
        <v>360</v>
      </c>
      <c r="B48" s="2" t="s">
        <v>103</v>
      </c>
      <c r="C48" s="3" t="s">
        <v>104</v>
      </c>
      <c r="D48" s="3" t="s">
        <v>361</v>
      </c>
      <c r="E48" s="3" t="s">
        <v>362</v>
      </c>
      <c r="F48" s="3" t="s">
        <v>363</v>
      </c>
      <c r="G48" s="3" t="s">
        <v>364</v>
      </c>
      <c r="H48" s="3" t="s">
        <v>365</v>
      </c>
      <c r="I48" s="4" t="str">
        <f>IFERROR(IF(INDEX('Test Execution'!$G$2:$G$55,MATCH($A48,'Test Execution'!$A$2:$A$55,0))="","Not Executed",INDEX('Test Execution'!$G$2:$G$55,MATCH($A48,'Test Execution'!$A$2:$A$55,0))),"Not Executed")</f>
        <v>Not Executed</v>
      </c>
      <c r="J48" s="4" t="str">
        <f>IFERROR(IF(INDEX('Test Execution'!$H$2:$H$55,MATCH($A48,'Test Execution'!$A$2:$A$55,0))="","Not Executed",INDEX('Test Execution'!$H$2:$H$55,MATCH($A48,'Test Execution'!$A$2:$A$55,0))),"Not Executed")</f>
        <v>Not Executed</v>
      </c>
      <c r="K48" s="2" t="s">
        <v>9</v>
      </c>
    </row>
    <row r="49" spans="1:11" ht="37.5" x14ac:dyDescent="0.35">
      <c r="A49" s="2" t="s">
        <v>366</v>
      </c>
      <c r="B49" s="2" t="s">
        <v>103</v>
      </c>
      <c r="C49" s="3" t="s">
        <v>104</v>
      </c>
      <c r="D49" s="3" t="s">
        <v>367</v>
      </c>
      <c r="E49" s="3" t="s">
        <v>368</v>
      </c>
      <c r="F49" s="3" t="s">
        <v>369</v>
      </c>
      <c r="G49" s="3" t="s">
        <v>370</v>
      </c>
      <c r="H49" s="3" t="s">
        <v>371</v>
      </c>
      <c r="I49" s="4" t="str">
        <f>IFERROR(IF(INDEX('Test Execution'!$G$2:$G$55,MATCH($A49,'Test Execution'!$A$2:$A$55,0))="","Not Executed",INDEX('Test Execution'!$G$2:$G$55,MATCH($A49,'Test Execution'!$A$2:$A$55,0))),"Not Executed")</f>
        <v>Not Executed</v>
      </c>
      <c r="J49" s="4" t="str">
        <f>IFERROR(IF(INDEX('Test Execution'!$H$2:$H$55,MATCH($A49,'Test Execution'!$A$2:$A$55,0))="","Not Executed",INDEX('Test Execution'!$H$2:$H$55,MATCH($A49,'Test Execution'!$A$2:$A$55,0))),"Not Executed")</f>
        <v>Not Executed</v>
      </c>
      <c r="K49" s="2" t="s">
        <v>14</v>
      </c>
    </row>
    <row r="50" spans="1:11" ht="62.5" x14ac:dyDescent="0.35">
      <c r="A50" s="2" t="s">
        <v>372</v>
      </c>
      <c r="B50" s="2" t="s">
        <v>108</v>
      </c>
      <c r="C50" s="3" t="s">
        <v>104</v>
      </c>
      <c r="D50" s="3" t="s">
        <v>373</v>
      </c>
      <c r="E50" s="3" t="s">
        <v>374</v>
      </c>
      <c r="F50" s="3" t="s">
        <v>375</v>
      </c>
      <c r="G50" s="3" t="s">
        <v>319</v>
      </c>
      <c r="H50" s="3" t="s">
        <v>376</v>
      </c>
      <c r="I50" s="4" t="str">
        <f>IFERROR(IF(INDEX('Test Execution'!$G$2:$G$55,MATCH($A50,'Test Execution'!$A$2:$A$55,0))="","Not Executed",INDEX('Test Execution'!$G$2:$G$55,MATCH($A50,'Test Execution'!$A$2:$A$55,0))),"Not Executed")</f>
        <v>Not Executed</v>
      </c>
      <c r="J50" s="4" t="str">
        <f>IFERROR(IF(INDEX('Test Execution'!$H$2:$H$55,MATCH($A50,'Test Execution'!$A$2:$A$55,0))="","Not Executed",INDEX('Test Execution'!$H$2:$H$55,MATCH($A50,'Test Execution'!$A$2:$A$55,0))),"Not Executed")</f>
        <v>Not Executed</v>
      </c>
      <c r="K50" s="2" t="s">
        <v>9</v>
      </c>
    </row>
    <row r="51" spans="1:11" ht="62.5" x14ac:dyDescent="0.35">
      <c r="A51" s="2" t="s">
        <v>377</v>
      </c>
      <c r="B51" s="2" t="s">
        <v>108</v>
      </c>
      <c r="C51" s="3" t="s">
        <v>104</v>
      </c>
      <c r="D51" s="3" t="s">
        <v>378</v>
      </c>
      <c r="E51" s="3" t="s">
        <v>379</v>
      </c>
      <c r="F51" s="3" t="s">
        <v>375</v>
      </c>
      <c r="G51" s="3" t="s">
        <v>319</v>
      </c>
      <c r="H51" s="3" t="s">
        <v>376</v>
      </c>
      <c r="I51" s="4" t="str">
        <f>IFERROR(IF(INDEX('Test Execution'!$G$2:$G$55,MATCH($A51,'Test Execution'!$A$2:$A$55,0))="","Not Executed",INDEX('Test Execution'!$G$2:$G$55,MATCH($A51,'Test Execution'!$A$2:$A$55,0))),"Not Executed")</f>
        <v>Not Executed</v>
      </c>
      <c r="J51" s="4" t="str">
        <f>IFERROR(IF(INDEX('Test Execution'!$H$2:$H$55,MATCH($A51,'Test Execution'!$A$2:$A$55,0))="","Not Executed",INDEX('Test Execution'!$H$2:$H$55,MATCH($A51,'Test Execution'!$A$2:$A$55,0))),"Not Executed")</f>
        <v>Not Executed</v>
      </c>
      <c r="K51" s="2" t="s">
        <v>14</v>
      </c>
    </row>
    <row r="52" spans="1:11" ht="75" x14ac:dyDescent="0.35">
      <c r="A52" s="2" t="s">
        <v>380</v>
      </c>
      <c r="B52" s="2" t="s">
        <v>112</v>
      </c>
      <c r="C52" s="3" t="s">
        <v>104</v>
      </c>
      <c r="D52" s="3" t="s">
        <v>381</v>
      </c>
      <c r="E52" s="3" t="s">
        <v>368</v>
      </c>
      <c r="F52" s="3" t="s">
        <v>382</v>
      </c>
      <c r="G52" s="3" t="s">
        <v>383</v>
      </c>
      <c r="H52" s="3" t="s">
        <v>384</v>
      </c>
      <c r="I52" s="4" t="str">
        <f>IFERROR(IF(INDEX('Test Execution'!$G$2:$G$55,MATCH($A52,'Test Execution'!$A$2:$A$55,0))="","Not Executed",INDEX('Test Execution'!$G$2:$G$55,MATCH($A52,'Test Execution'!$A$2:$A$55,0))),"Not Executed")</f>
        <v>Not Executed</v>
      </c>
      <c r="J52" s="4" t="str">
        <f>IFERROR(IF(INDEX('Test Execution'!$H$2:$H$55,MATCH($A52,'Test Execution'!$A$2:$A$55,0))="","Not Executed",INDEX('Test Execution'!$H$2:$H$55,MATCH($A52,'Test Execution'!$A$2:$A$55,0))),"Not Executed")</f>
        <v>Not Executed</v>
      </c>
      <c r="K52" s="2" t="s">
        <v>14</v>
      </c>
    </row>
    <row r="53" spans="1:11" ht="37.5" x14ac:dyDescent="0.35">
      <c r="A53" s="2" t="s">
        <v>385</v>
      </c>
      <c r="B53" s="2" t="s">
        <v>116</v>
      </c>
      <c r="C53" s="3" t="s">
        <v>117</v>
      </c>
      <c r="D53" s="3" t="s">
        <v>386</v>
      </c>
      <c r="E53" s="3" t="s">
        <v>135</v>
      </c>
      <c r="F53" s="3" t="s">
        <v>387</v>
      </c>
      <c r="G53" s="3" t="s">
        <v>388</v>
      </c>
      <c r="H53" s="3" t="s">
        <v>389</v>
      </c>
      <c r="I53" s="4" t="str">
        <f>IFERROR(IF(INDEX('Test Execution'!$G$2:$G$55,MATCH($A53,'Test Execution'!$A$2:$A$55,0))="","Not Executed",INDEX('Test Execution'!$G$2:$G$55,MATCH($A53,'Test Execution'!$A$2:$A$55,0))),"Not Executed")</f>
        <v>Not Executed</v>
      </c>
      <c r="J53" s="4" t="str">
        <f>IFERROR(IF(INDEX('Test Execution'!$H$2:$H$55,MATCH($A53,'Test Execution'!$A$2:$A$55,0))="","Not Executed",INDEX('Test Execution'!$H$2:$H$55,MATCH($A53,'Test Execution'!$A$2:$A$55,0))),"Not Executed")</f>
        <v>Not Executed</v>
      </c>
      <c r="K53" s="2" t="s">
        <v>14</v>
      </c>
    </row>
    <row r="54" spans="1:11" ht="75" x14ac:dyDescent="0.35">
      <c r="A54" s="2" t="s">
        <v>390</v>
      </c>
      <c r="B54" s="2" t="s">
        <v>116</v>
      </c>
      <c r="C54" s="3" t="s">
        <v>117</v>
      </c>
      <c r="D54" s="3" t="s">
        <v>536</v>
      </c>
      <c r="E54" s="3" t="s">
        <v>135</v>
      </c>
      <c r="F54" s="3" t="s">
        <v>537</v>
      </c>
      <c r="G54" s="3" t="s">
        <v>391</v>
      </c>
      <c r="H54" s="3" t="s">
        <v>538</v>
      </c>
      <c r="I54" s="4" t="str">
        <f>IFERROR(IF(INDEX('Test Execution'!$G$2:$G$55,MATCH($A54,'Test Execution'!$A$2:$A$55,0))="","Not Executed",INDEX('Test Execution'!$G$2:$G$55,MATCH($A54,'Test Execution'!$A$2:$A$55,0))),"Not Executed")</f>
        <v>Not Executed</v>
      </c>
      <c r="J54" s="4" t="str">
        <f>IFERROR(IF(INDEX('Test Execution'!$H$2:$H$55,MATCH($A54,'Test Execution'!$A$2:$A$55,0))="","Not Executed",INDEX('Test Execution'!$H$2:$H$55,MATCH($A54,'Test Execution'!$A$2:$A$55,0))),"Not Executed")</f>
        <v>Not Executed</v>
      </c>
      <c r="K54" s="2" t="s">
        <v>14</v>
      </c>
    </row>
    <row r="55" spans="1:11" ht="75" x14ac:dyDescent="0.35">
      <c r="A55" s="2" t="s">
        <v>392</v>
      </c>
      <c r="B55" s="2" t="s">
        <v>121</v>
      </c>
      <c r="C55" s="3" t="s">
        <v>117</v>
      </c>
      <c r="D55" s="3" t="s">
        <v>393</v>
      </c>
      <c r="E55" s="3" t="s">
        <v>141</v>
      </c>
      <c r="F55" s="3" t="s">
        <v>394</v>
      </c>
      <c r="G55" s="3" t="s">
        <v>395</v>
      </c>
      <c r="H55" s="3" t="s">
        <v>396</v>
      </c>
      <c r="I55" s="4" t="str">
        <f>IFERROR(IF(INDEX('Test Execution'!$G$2:$G$55,MATCH($A55,'Test Execution'!$A$2:$A$55,0))="","Not Executed",INDEX('Test Execution'!$G$2:$G$55,MATCH($A55,'Test Execution'!$A$2:$A$55,0))),"Not Executed")</f>
        <v>Not Executed</v>
      </c>
      <c r="J55" s="4" t="str">
        <f>IFERROR(IF(INDEX('Test Execution'!$H$2:$H$55,MATCH($A55,'Test Execution'!$A$2:$A$55,0))="","Not Executed",INDEX('Test Execution'!$H$2:$H$55,MATCH($A55,'Test Execution'!$A$2:$A$55,0))),"Not Executed")</f>
        <v>Not Executed</v>
      </c>
      <c r="K55" s="2" t="s">
        <v>76</v>
      </c>
    </row>
  </sheetData>
  <autoFilter ref="A1:K55" xr:uid="{00000000-0009-0000-0000-000001000000}"/>
  <conditionalFormatting sqref="J2:J55">
    <cfRule type="cellIs" dxfId="11" priority="2" operator="equal">
      <formula>"Pass"</formula>
    </cfRule>
    <cfRule type="cellIs" dxfId="10" priority="3" operator="equal">
      <formula>"Fail"</formula>
    </cfRule>
    <cfRule type="cellIs" dxfId="9" priority="4" operator="equal">
      <formula>"Blocked"</formula>
    </cfRule>
    <cfRule type="cellIs" dxfId="8" priority="5" operator="equal">
      <formula>"Not Executed"</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5"/>
  <sheetViews>
    <sheetView zoomScaleNormal="100" workbookViewId="0">
      <pane ySplit="1" topLeftCell="A2" activePane="bottomLeft" state="frozen"/>
      <selection pane="bottomLeft"/>
    </sheetView>
  </sheetViews>
  <sheetFormatPr defaultColWidth="8.6328125" defaultRowHeight="14.5" x14ac:dyDescent="0.35"/>
  <cols>
    <col min="1" max="1" width="12" customWidth="1"/>
    <col min="2" max="2" width="24" customWidth="1"/>
    <col min="3" max="3" width="15" customWidth="1"/>
    <col min="4" max="4" width="16" customWidth="1"/>
    <col min="5" max="5" width="24" customWidth="1"/>
    <col min="6" max="6" width="18" customWidth="1"/>
    <col min="7" max="7" width="40" customWidth="1"/>
    <col min="8" max="8" width="15" customWidth="1"/>
    <col min="9" max="9" width="12" customWidth="1"/>
    <col min="10" max="10" width="40" customWidth="1"/>
  </cols>
  <sheetData>
    <row r="1" spans="1:10" ht="30" customHeight="1" x14ac:dyDescent="0.35">
      <c r="A1" s="1" t="s">
        <v>125</v>
      </c>
      <c r="B1" s="1" t="s">
        <v>1</v>
      </c>
      <c r="C1" s="1" t="s">
        <v>397</v>
      </c>
      <c r="D1" s="1" t="s">
        <v>398</v>
      </c>
      <c r="E1" s="1" t="s">
        <v>399</v>
      </c>
      <c r="F1" s="1" t="s">
        <v>400</v>
      </c>
      <c r="G1" s="1" t="s">
        <v>131</v>
      </c>
      <c r="H1" s="1" t="s">
        <v>132</v>
      </c>
      <c r="I1" s="1" t="s">
        <v>401</v>
      </c>
      <c r="J1" s="1" t="s">
        <v>402</v>
      </c>
    </row>
    <row r="2" spans="1:10" x14ac:dyDescent="0.35">
      <c r="A2" s="2" t="s">
        <v>133</v>
      </c>
      <c r="B2" s="5" t="str">
        <f>IFERROR(INDEX('Test Cases'!$C$2:$C$55,MATCH($A2,'Test Cases'!$A$2:$A$55,0)),"")</f>
        <v>Header &amp; Navigation</v>
      </c>
      <c r="C2" s="6"/>
      <c r="D2" s="7"/>
      <c r="E2" s="7"/>
      <c r="F2" s="7"/>
      <c r="G2" s="7" t="s">
        <v>403</v>
      </c>
      <c r="H2" s="8" t="s">
        <v>403</v>
      </c>
      <c r="I2" s="8"/>
      <c r="J2" s="7"/>
    </row>
    <row r="3" spans="1:10" x14ac:dyDescent="0.35">
      <c r="A3" s="2" t="s">
        <v>139</v>
      </c>
      <c r="B3" s="5" t="str">
        <f>IFERROR(INDEX('Test Cases'!$C$2:$C$55,MATCH($A3,'Test Cases'!$A$2:$A$55,0)),"")</f>
        <v>Header &amp; Navigation</v>
      </c>
      <c r="C3" s="6"/>
      <c r="D3" s="7"/>
      <c r="E3" s="7"/>
      <c r="F3" s="7"/>
      <c r="G3" s="7" t="s">
        <v>403</v>
      </c>
      <c r="H3" s="8" t="s">
        <v>403</v>
      </c>
      <c r="I3" s="8"/>
      <c r="J3" s="7"/>
    </row>
    <row r="4" spans="1:10" x14ac:dyDescent="0.35">
      <c r="A4" s="2" t="s">
        <v>145</v>
      </c>
      <c r="B4" s="5" t="str">
        <f>IFERROR(INDEX('Test Cases'!$C$2:$C$55,MATCH($A4,'Test Cases'!$A$2:$A$55,0)),"")</f>
        <v>Header &amp; Navigation</v>
      </c>
      <c r="C4" s="6"/>
      <c r="D4" s="7"/>
      <c r="E4" s="7"/>
      <c r="F4" s="7"/>
      <c r="G4" s="7" t="s">
        <v>403</v>
      </c>
      <c r="H4" s="8" t="s">
        <v>403</v>
      </c>
      <c r="I4" s="8"/>
      <c r="J4" s="7"/>
    </row>
    <row r="5" spans="1:10" x14ac:dyDescent="0.35">
      <c r="A5" s="2" t="s">
        <v>150</v>
      </c>
      <c r="B5" s="5" t="str">
        <f>IFERROR(INDEX('Test Cases'!$C$2:$C$55,MATCH($A5,'Test Cases'!$A$2:$A$55,0)),"")</f>
        <v>Header &amp; Navigation</v>
      </c>
      <c r="C5" s="6"/>
      <c r="D5" s="7"/>
      <c r="E5" s="7"/>
      <c r="F5" s="7"/>
      <c r="G5" s="7" t="s">
        <v>403</v>
      </c>
      <c r="H5" s="8" t="s">
        <v>403</v>
      </c>
      <c r="I5" s="8"/>
      <c r="J5" s="7"/>
    </row>
    <row r="6" spans="1:10" x14ac:dyDescent="0.35">
      <c r="A6" s="2" t="s">
        <v>156</v>
      </c>
      <c r="B6" s="5" t="str">
        <f>IFERROR(INDEX('Test Cases'!$C$2:$C$55,MATCH($A6,'Test Cases'!$A$2:$A$55,0)),"")</f>
        <v>Header &amp; Navigation</v>
      </c>
      <c r="C6" s="6"/>
      <c r="D6" s="7"/>
      <c r="E6" s="7"/>
      <c r="F6" s="7"/>
      <c r="G6" s="7" t="s">
        <v>403</v>
      </c>
      <c r="H6" s="8" t="s">
        <v>403</v>
      </c>
      <c r="I6" s="8"/>
      <c r="J6" s="7"/>
    </row>
    <row r="7" spans="1:10" x14ac:dyDescent="0.35">
      <c r="A7" s="2" t="s">
        <v>162</v>
      </c>
      <c r="B7" s="5" t="str">
        <f>IFERROR(INDEX('Test Cases'!$C$2:$C$55,MATCH($A7,'Test Cases'!$A$2:$A$55,0)),"")</f>
        <v>Header &amp; Navigation</v>
      </c>
      <c r="C7" s="6"/>
      <c r="D7" s="7"/>
      <c r="E7" s="7"/>
      <c r="F7" s="7"/>
      <c r="G7" s="7" t="s">
        <v>403</v>
      </c>
      <c r="H7" s="8" t="s">
        <v>403</v>
      </c>
      <c r="I7" s="8"/>
      <c r="J7" s="7"/>
    </row>
    <row r="8" spans="1:10" x14ac:dyDescent="0.35">
      <c r="A8" s="2" t="s">
        <v>167</v>
      </c>
      <c r="B8" s="5" t="str">
        <f>IFERROR(INDEX('Test Cases'!$C$2:$C$55,MATCH($A8,'Test Cases'!$A$2:$A$55,0)),"")</f>
        <v>Header &amp; Navigation</v>
      </c>
      <c r="C8" s="6"/>
      <c r="D8" s="7"/>
      <c r="E8" s="7"/>
      <c r="F8" s="7"/>
      <c r="G8" s="7" t="s">
        <v>403</v>
      </c>
      <c r="H8" s="8" t="s">
        <v>403</v>
      </c>
      <c r="I8" s="8"/>
      <c r="J8" s="7"/>
    </row>
    <row r="9" spans="1:10" x14ac:dyDescent="0.35">
      <c r="A9" s="2" t="s">
        <v>173</v>
      </c>
      <c r="B9" s="5" t="str">
        <f>IFERROR(INDEX('Test Cases'!$C$2:$C$55,MATCH($A9,'Test Cases'!$A$2:$A$55,0)),"")</f>
        <v>Header &amp; Navigation</v>
      </c>
      <c r="C9" s="6"/>
      <c r="D9" s="7"/>
      <c r="E9" s="7"/>
      <c r="F9" s="7"/>
      <c r="G9" s="7" t="s">
        <v>403</v>
      </c>
      <c r="H9" s="8" t="s">
        <v>403</v>
      </c>
      <c r="I9" s="8"/>
      <c r="J9" s="7"/>
    </row>
    <row r="10" spans="1:10" x14ac:dyDescent="0.35">
      <c r="A10" s="2" t="s">
        <v>178</v>
      </c>
      <c r="B10" s="5" t="str">
        <f>IFERROR(INDEX('Test Cases'!$C$2:$C$55,MATCH($A10,'Test Cases'!$A$2:$A$55,0)),"")</f>
        <v>Product Catalogue</v>
      </c>
      <c r="C10" s="6"/>
      <c r="D10" s="7"/>
      <c r="E10" s="7"/>
      <c r="F10" s="7"/>
      <c r="G10" s="7" t="s">
        <v>403</v>
      </c>
      <c r="H10" s="8" t="s">
        <v>403</v>
      </c>
      <c r="I10" s="8"/>
      <c r="J10" s="7"/>
    </row>
    <row r="11" spans="1:10" x14ac:dyDescent="0.35">
      <c r="A11" s="2" t="s">
        <v>182</v>
      </c>
      <c r="B11" s="5" t="str">
        <f>IFERROR(INDEX('Test Cases'!$C$2:$C$55,MATCH($A11,'Test Cases'!$A$2:$A$55,0)),"")</f>
        <v>Product Catalogue</v>
      </c>
      <c r="C11" s="6"/>
      <c r="D11" s="7"/>
      <c r="E11" s="7"/>
      <c r="F11" s="7"/>
      <c r="G11" s="7" t="s">
        <v>403</v>
      </c>
      <c r="H11" s="8" t="s">
        <v>403</v>
      </c>
      <c r="I11" s="8"/>
      <c r="J11" s="7"/>
    </row>
    <row r="12" spans="1:10" x14ac:dyDescent="0.35">
      <c r="A12" s="2" t="s">
        <v>187</v>
      </c>
      <c r="B12" s="5" t="str">
        <f>IFERROR(INDEX('Test Cases'!$C$2:$C$55,MATCH($A12,'Test Cases'!$A$2:$A$55,0)),"")</f>
        <v>Product Catalogue</v>
      </c>
      <c r="C12" s="6"/>
      <c r="D12" s="7"/>
      <c r="E12" s="7"/>
      <c r="F12" s="7"/>
      <c r="G12" s="7" t="s">
        <v>403</v>
      </c>
      <c r="H12" s="8" t="s">
        <v>403</v>
      </c>
      <c r="I12" s="8"/>
      <c r="J12" s="7"/>
    </row>
    <row r="13" spans="1:10" x14ac:dyDescent="0.35">
      <c r="A13" s="2" t="s">
        <v>192</v>
      </c>
      <c r="B13" s="5" t="str">
        <f>IFERROR(INDEX('Test Cases'!$C$2:$C$55,MATCH($A13,'Test Cases'!$A$2:$A$55,0)),"")</f>
        <v>Product Catalogue</v>
      </c>
      <c r="C13" s="6"/>
      <c r="D13" s="7"/>
      <c r="E13" s="7"/>
      <c r="F13" s="7"/>
      <c r="G13" s="7" t="s">
        <v>403</v>
      </c>
      <c r="H13" s="8" t="s">
        <v>403</v>
      </c>
      <c r="I13" s="8"/>
      <c r="J13" s="7"/>
    </row>
    <row r="14" spans="1:10" x14ac:dyDescent="0.35">
      <c r="A14" s="2" t="s">
        <v>197</v>
      </c>
      <c r="B14" s="5" t="str">
        <f>IFERROR(INDEX('Test Cases'!$C$2:$C$55,MATCH($A14,'Test Cases'!$A$2:$A$55,0)),"")</f>
        <v>Product Catalogue</v>
      </c>
      <c r="C14" s="6"/>
      <c r="D14" s="7"/>
      <c r="E14" s="7"/>
      <c r="F14" s="7"/>
      <c r="G14" s="7" t="s">
        <v>403</v>
      </c>
      <c r="H14" s="8" t="s">
        <v>403</v>
      </c>
      <c r="I14" s="8"/>
      <c r="J14" s="7"/>
    </row>
    <row r="15" spans="1:10" x14ac:dyDescent="0.35">
      <c r="A15" s="2" t="s">
        <v>202</v>
      </c>
      <c r="B15" s="5" t="str">
        <f>IFERROR(INDEX('Test Cases'!$C$2:$C$55,MATCH($A15,'Test Cases'!$A$2:$A$55,0)),"")</f>
        <v>Product Catalogue</v>
      </c>
      <c r="C15" s="6"/>
      <c r="D15" s="7"/>
      <c r="E15" s="7"/>
      <c r="F15" s="7"/>
      <c r="G15" s="7" t="s">
        <v>403</v>
      </c>
      <c r="H15" s="8" t="s">
        <v>403</v>
      </c>
      <c r="I15" s="8"/>
      <c r="J15" s="7"/>
    </row>
    <row r="16" spans="1:10" x14ac:dyDescent="0.35">
      <c r="A16" s="2" t="s">
        <v>207</v>
      </c>
      <c r="B16" s="5" t="str">
        <f>IFERROR(INDEX('Test Cases'!$C$2:$C$55,MATCH($A16,'Test Cases'!$A$2:$A$55,0)),"")</f>
        <v>Category Filter</v>
      </c>
      <c r="C16" s="6"/>
      <c r="D16" s="7"/>
      <c r="E16" s="7"/>
      <c r="F16" s="7"/>
      <c r="G16" s="7" t="s">
        <v>403</v>
      </c>
      <c r="H16" s="8" t="s">
        <v>403</v>
      </c>
      <c r="I16" s="8"/>
      <c r="J16" s="7"/>
    </row>
    <row r="17" spans="1:10" x14ac:dyDescent="0.35">
      <c r="A17" s="2" t="s">
        <v>211</v>
      </c>
      <c r="B17" s="5" t="str">
        <f>IFERROR(INDEX('Test Cases'!$C$2:$C$55,MATCH($A17,'Test Cases'!$A$2:$A$55,0)),"")</f>
        <v>Category Filter</v>
      </c>
      <c r="C17" s="6"/>
      <c r="D17" s="7"/>
      <c r="E17" s="7"/>
      <c r="F17" s="7"/>
      <c r="G17" s="7" t="s">
        <v>403</v>
      </c>
      <c r="H17" s="8" t="s">
        <v>403</v>
      </c>
      <c r="I17" s="8"/>
      <c r="J17" s="7"/>
    </row>
    <row r="18" spans="1:10" x14ac:dyDescent="0.35">
      <c r="A18" s="2" t="s">
        <v>216</v>
      </c>
      <c r="B18" s="5" t="str">
        <f>IFERROR(INDEX('Test Cases'!$C$2:$C$55,MATCH($A18,'Test Cases'!$A$2:$A$55,0)),"")</f>
        <v>Category Filter</v>
      </c>
      <c r="C18" s="6"/>
      <c r="D18" s="7"/>
      <c r="E18" s="7"/>
      <c r="F18" s="7"/>
      <c r="G18" s="7" t="s">
        <v>403</v>
      </c>
      <c r="H18" s="8" t="s">
        <v>403</v>
      </c>
      <c r="I18" s="8"/>
      <c r="J18" s="7"/>
    </row>
    <row r="19" spans="1:10" x14ac:dyDescent="0.35">
      <c r="A19" s="2" t="s">
        <v>221</v>
      </c>
      <c r="B19" s="5" t="str">
        <f>IFERROR(INDEX('Test Cases'!$C$2:$C$55,MATCH($A19,'Test Cases'!$A$2:$A$55,0)),"")</f>
        <v>Category Filter</v>
      </c>
      <c r="C19" s="6"/>
      <c r="D19" s="7"/>
      <c r="E19" s="7"/>
      <c r="F19" s="7"/>
      <c r="G19" s="7" t="s">
        <v>403</v>
      </c>
      <c r="H19" s="8" t="s">
        <v>403</v>
      </c>
      <c r="I19" s="8"/>
      <c r="J19" s="7"/>
    </row>
    <row r="20" spans="1:10" x14ac:dyDescent="0.35">
      <c r="A20" s="2" t="s">
        <v>226</v>
      </c>
      <c r="B20" s="5" t="str">
        <f>IFERROR(INDEX('Test Cases'!$C$2:$C$55,MATCH($A20,'Test Cases'!$A$2:$A$55,0)),"")</f>
        <v>Category Filter</v>
      </c>
      <c r="C20" s="6"/>
      <c r="D20" s="7"/>
      <c r="E20" s="7"/>
      <c r="F20" s="7"/>
      <c r="G20" s="7" t="s">
        <v>403</v>
      </c>
      <c r="H20" s="8" t="s">
        <v>403</v>
      </c>
      <c r="I20" s="8"/>
      <c r="J20" s="7"/>
    </row>
    <row r="21" spans="1:10" x14ac:dyDescent="0.35">
      <c r="A21" s="2" t="s">
        <v>231</v>
      </c>
      <c r="B21" s="5" t="str">
        <f>IFERROR(INDEX('Test Cases'!$C$2:$C$55,MATCH($A21,'Test Cases'!$A$2:$A$55,0)),"")</f>
        <v>Category Filter</v>
      </c>
      <c r="C21" s="6"/>
      <c r="D21" s="7"/>
      <c r="E21" s="7"/>
      <c r="F21" s="7"/>
      <c r="G21" s="7" t="s">
        <v>403</v>
      </c>
      <c r="H21" s="8" t="s">
        <v>403</v>
      </c>
      <c r="I21" s="8"/>
      <c r="J21" s="7"/>
    </row>
    <row r="22" spans="1:10" x14ac:dyDescent="0.35">
      <c r="A22" s="2" t="s">
        <v>236</v>
      </c>
      <c r="B22" s="5" t="str">
        <f>IFERROR(INDEX('Test Cases'!$C$2:$C$55,MATCH($A22,'Test Cases'!$A$2:$A$55,0)),"")</f>
        <v>Category Filter</v>
      </c>
      <c r="C22" s="6"/>
      <c r="D22" s="7"/>
      <c r="E22" s="7"/>
      <c r="F22" s="7"/>
      <c r="G22" s="7" t="s">
        <v>403</v>
      </c>
      <c r="H22" s="8" t="s">
        <v>403</v>
      </c>
      <c r="I22" s="8"/>
      <c r="J22" s="7"/>
    </row>
    <row r="23" spans="1:10" x14ac:dyDescent="0.35">
      <c r="A23" s="2" t="s">
        <v>241</v>
      </c>
      <c r="B23" s="5" t="str">
        <f>IFERROR(INDEX('Test Cases'!$C$2:$C$55,MATCH($A23,'Test Cases'!$A$2:$A$55,0)),"")</f>
        <v>Category Filter</v>
      </c>
      <c r="C23" s="6"/>
      <c r="D23" s="7"/>
      <c r="E23" s="7"/>
      <c r="F23" s="7"/>
      <c r="G23" s="7" t="s">
        <v>403</v>
      </c>
      <c r="H23" s="8" t="s">
        <v>403</v>
      </c>
      <c r="I23" s="8"/>
      <c r="J23" s="7"/>
    </row>
    <row r="24" spans="1:10" x14ac:dyDescent="0.35">
      <c r="A24" s="2" t="s">
        <v>246</v>
      </c>
      <c r="B24" s="5" t="str">
        <f>IFERROR(INDEX('Test Cases'!$C$2:$C$55,MATCH($A24,'Test Cases'!$A$2:$A$55,0)),"")</f>
        <v>Category Filter</v>
      </c>
      <c r="C24" s="6"/>
      <c r="D24" s="7"/>
      <c r="E24" s="7"/>
      <c r="F24" s="7"/>
      <c r="G24" s="7" t="s">
        <v>403</v>
      </c>
      <c r="H24" s="8" t="s">
        <v>403</v>
      </c>
      <c r="I24" s="8"/>
      <c r="J24" s="7"/>
    </row>
    <row r="25" spans="1:10" x14ac:dyDescent="0.35">
      <c r="A25" s="2" t="s">
        <v>251</v>
      </c>
      <c r="B25" s="5" t="str">
        <f>IFERROR(INDEX('Test Cases'!$C$2:$C$55,MATCH($A25,'Test Cases'!$A$2:$A$55,0)),"")</f>
        <v>Category Filter</v>
      </c>
      <c r="C25" s="6"/>
      <c r="D25" s="7"/>
      <c r="E25" s="7"/>
      <c r="F25" s="7"/>
      <c r="G25" s="7" t="s">
        <v>403</v>
      </c>
      <c r="H25" s="8" t="s">
        <v>403</v>
      </c>
      <c r="I25" s="8"/>
      <c r="J25" s="7"/>
    </row>
    <row r="26" spans="1:10" x14ac:dyDescent="0.35">
      <c r="A26" s="2" t="s">
        <v>255</v>
      </c>
      <c r="B26" s="5" t="str">
        <f>IFERROR(INDEX('Test Cases'!$C$2:$C$55,MATCH($A26,'Test Cases'!$A$2:$A$55,0)),"")</f>
        <v>Product Detail</v>
      </c>
      <c r="C26" s="6"/>
      <c r="D26" s="7"/>
      <c r="E26" s="7"/>
      <c r="F26" s="7"/>
      <c r="G26" s="7" t="s">
        <v>403</v>
      </c>
      <c r="H26" s="8" t="s">
        <v>403</v>
      </c>
      <c r="I26" s="8"/>
      <c r="J26" s="7"/>
    </row>
    <row r="27" spans="1:10" x14ac:dyDescent="0.35">
      <c r="A27" s="2" t="s">
        <v>260</v>
      </c>
      <c r="B27" s="5" t="str">
        <f>IFERROR(INDEX('Test Cases'!$C$2:$C$55,MATCH($A27,'Test Cases'!$A$2:$A$55,0)),"")</f>
        <v>Product Detail</v>
      </c>
      <c r="C27" s="6"/>
      <c r="D27" s="7"/>
      <c r="E27" s="7"/>
      <c r="F27" s="7"/>
      <c r="G27" s="7" t="s">
        <v>403</v>
      </c>
      <c r="H27" s="8" t="s">
        <v>403</v>
      </c>
      <c r="I27" s="8"/>
      <c r="J27" s="7"/>
    </row>
    <row r="28" spans="1:10" x14ac:dyDescent="0.35">
      <c r="A28" s="2" t="s">
        <v>265</v>
      </c>
      <c r="B28" s="5" t="str">
        <f>IFERROR(INDEX('Test Cases'!$C$2:$C$55,MATCH($A28,'Test Cases'!$A$2:$A$55,0)),"")</f>
        <v>Product Detail</v>
      </c>
      <c r="C28" s="6"/>
      <c r="D28" s="7"/>
      <c r="E28" s="7"/>
      <c r="F28" s="7"/>
      <c r="G28" s="7" t="s">
        <v>403</v>
      </c>
      <c r="H28" s="8" t="s">
        <v>403</v>
      </c>
      <c r="I28" s="8"/>
      <c r="J28" s="7"/>
    </row>
    <row r="29" spans="1:10" x14ac:dyDescent="0.35">
      <c r="A29" s="2" t="s">
        <v>270</v>
      </c>
      <c r="B29" s="5" t="str">
        <f>IFERROR(INDEX('Test Cases'!$C$2:$C$55,MATCH($A29,'Test Cases'!$A$2:$A$55,0)),"")</f>
        <v>Product Detail</v>
      </c>
      <c r="C29" s="6"/>
      <c r="D29" s="7"/>
      <c r="E29" s="7"/>
      <c r="F29" s="7"/>
      <c r="G29" s="7" t="s">
        <v>403</v>
      </c>
      <c r="H29" s="8" t="s">
        <v>403</v>
      </c>
      <c r="I29" s="8"/>
      <c r="J29" s="7"/>
    </row>
    <row r="30" spans="1:10" x14ac:dyDescent="0.35">
      <c r="A30" s="2" t="s">
        <v>275</v>
      </c>
      <c r="B30" s="5" t="str">
        <f>IFERROR(INDEX('Test Cases'!$C$2:$C$55,MATCH($A30,'Test Cases'!$A$2:$A$55,0)),"")</f>
        <v>Product Detail</v>
      </c>
      <c r="C30" s="6"/>
      <c r="D30" s="7"/>
      <c r="E30" s="7"/>
      <c r="F30" s="7"/>
      <c r="G30" s="7" t="s">
        <v>403</v>
      </c>
      <c r="H30" s="8" t="s">
        <v>403</v>
      </c>
      <c r="I30" s="8"/>
      <c r="J30" s="7"/>
    </row>
    <row r="31" spans="1:10" x14ac:dyDescent="0.35">
      <c r="A31" s="2" t="s">
        <v>280</v>
      </c>
      <c r="B31" s="5" t="str">
        <f>IFERROR(INDEX('Test Cases'!$C$2:$C$55,MATCH($A31,'Test Cases'!$A$2:$A$55,0)),"")</f>
        <v>Product Detail</v>
      </c>
      <c r="C31" s="6"/>
      <c r="D31" s="7"/>
      <c r="E31" s="7"/>
      <c r="F31" s="7"/>
      <c r="G31" s="7" t="s">
        <v>403</v>
      </c>
      <c r="H31" s="8" t="s">
        <v>403</v>
      </c>
      <c r="I31" s="8"/>
      <c r="J31" s="7"/>
    </row>
    <row r="32" spans="1:10" x14ac:dyDescent="0.35">
      <c r="A32" s="2" t="s">
        <v>285</v>
      </c>
      <c r="B32" s="5" t="str">
        <f>IFERROR(INDEX('Test Cases'!$C$2:$C$55,MATCH($A32,'Test Cases'!$A$2:$A$55,0)),"")</f>
        <v>Product Detail</v>
      </c>
      <c r="C32" s="6"/>
      <c r="D32" s="7"/>
      <c r="E32" s="7"/>
      <c r="F32" s="7"/>
      <c r="G32" s="7" t="s">
        <v>403</v>
      </c>
      <c r="H32" s="8" t="s">
        <v>403</v>
      </c>
      <c r="I32" s="8"/>
      <c r="J32" s="7"/>
    </row>
    <row r="33" spans="1:10" x14ac:dyDescent="0.35">
      <c r="A33" s="2" t="s">
        <v>290</v>
      </c>
      <c r="B33" s="5" t="str">
        <f>IFERROR(INDEX('Test Cases'!$C$2:$C$55,MATCH($A33,'Test Cases'!$A$2:$A$55,0)),"")</f>
        <v>Product Detail</v>
      </c>
      <c r="C33" s="6"/>
      <c r="D33" s="7"/>
      <c r="E33" s="7"/>
      <c r="F33" s="7"/>
      <c r="G33" s="7" t="s">
        <v>403</v>
      </c>
      <c r="H33" s="8" t="s">
        <v>403</v>
      </c>
      <c r="I33" s="8"/>
      <c r="J33" s="7"/>
    </row>
    <row r="34" spans="1:10" x14ac:dyDescent="0.35">
      <c r="A34" s="2" t="s">
        <v>295</v>
      </c>
      <c r="B34" s="5" t="str">
        <f>IFERROR(INDEX('Test Cases'!$C$2:$C$55,MATCH($A34,'Test Cases'!$A$2:$A$55,0)),"")</f>
        <v>Product Detail</v>
      </c>
      <c r="C34" s="6"/>
      <c r="D34" s="7"/>
      <c r="E34" s="7"/>
      <c r="F34" s="7"/>
      <c r="G34" s="7" t="s">
        <v>403</v>
      </c>
      <c r="H34" s="8" t="s">
        <v>403</v>
      </c>
      <c r="I34" s="8"/>
      <c r="J34" s="7"/>
    </row>
    <row r="35" spans="1:10" x14ac:dyDescent="0.35">
      <c r="A35" s="2" t="s">
        <v>296</v>
      </c>
      <c r="B35" s="5" t="str">
        <f>IFERROR(INDEX('Test Cases'!$C$2:$C$55,MATCH($A35,'Test Cases'!$A$2:$A$55,0)),"")</f>
        <v>Product Detail</v>
      </c>
      <c r="C35" s="6"/>
      <c r="D35" s="7"/>
      <c r="E35" s="7"/>
      <c r="F35" s="7"/>
      <c r="G35" s="7" t="s">
        <v>403</v>
      </c>
      <c r="H35" s="8" t="s">
        <v>403</v>
      </c>
      <c r="I35" s="8"/>
      <c r="J35" s="7"/>
    </row>
    <row r="36" spans="1:10" x14ac:dyDescent="0.35">
      <c r="A36" s="2" t="s">
        <v>302</v>
      </c>
      <c r="B36" s="5" t="str">
        <f>IFERROR(INDEX('Test Cases'!$C$2:$C$55,MATCH($A36,'Test Cases'!$A$2:$A$55,0)),"")</f>
        <v>Product Detail</v>
      </c>
      <c r="C36" s="6"/>
      <c r="D36" s="7"/>
      <c r="E36" s="7"/>
      <c r="F36" s="7"/>
      <c r="G36" s="7" t="s">
        <v>403</v>
      </c>
      <c r="H36" s="8" t="s">
        <v>403</v>
      </c>
      <c r="I36" s="8"/>
      <c r="J36" s="7"/>
    </row>
    <row r="37" spans="1:10" x14ac:dyDescent="0.35">
      <c r="A37" s="2" t="s">
        <v>306</v>
      </c>
      <c r="B37" s="5" t="str">
        <f>IFERROR(INDEX('Test Cases'!$C$2:$C$55,MATCH($A37,'Test Cases'!$A$2:$A$55,0)),"")</f>
        <v>Product Detail</v>
      </c>
      <c r="C37" s="6"/>
      <c r="D37" s="7"/>
      <c r="E37" s="7"/>
      <c r="F37" s="7"/>
      <c r="G37" s="7" t="s">
        <v>403</v>
      </c>
      <c r="H37" s="8" t="s">
        <v>403</v>
      </c>
      <c r="I37" s="8"/>
      <c r="J37" s="7"/>
    </row>
    <row r="38" spans="1:10" x14ac:dyDescent="0.35">
      <c r="A38" s="2" t="s">
        <v>311</v>
      </c>
      <c r="B38" s="5" t="str">
        <f>IFERROR(INDEX('Test Cases'!$C$2:$C$55,MATCH($A38,'Test Cases'!$A$2:$A$55,0)),"")</f>
        <v>Enquiry Links</v>
      </c>
      <c r="C38" s="6"/>
      <c r="D38" s="7"/>
      <c r="E38" s="7"/>
      <c r="F38" s="7"/>
      <c r="G38" s="7" t="s">
        <v>403</v>
      </c>
      <c r="H38" s="8" t="s">
        <v>403</v>
      </c>
      <c r="I38" s="8"/>
      <c r="J38" s="7"/>
    </row>
    <row r="39" spans="1:10" x14ac:dyDescent="0.35">
      <c r="A39" s="2" t="s">
        <v>317</v>
      </c>
      <c r="B39" s="5" t="str">
        <f>IFERROR(INDEX('Test Cases'!$C$2:$C$55,MATCH($A39,'Test Cases'!$A$2:$A$55,0)),"")</f>
        <v>Enquiry Links</v>
      </c>
      <c r="C39" s="6"/>
      <c r="D39" s="7"/>
      <c r="E39" s="7"/>
      <c r="F39" s="7"/>
      <c r="G39" s="7" t="s">
        <v>403</v>
      </c>
      <c r="H39" s="8" t="s">
        <v>403</v>
      </c>
      <c r="I39" s="8"/>
      <c r="J39" s="7"/>
    </row>
    <row r="40" spans="1:10" x14ac:dyDescent="0.35">
      <c r="A40" s="2" t="s">
        <v>321</v>
      </c>
      <c r="B40" s="5" t="str">
        <f>IFERROR(INDEX('Test Cases'!$C$2:$C$55,MATCH($A40,'Test Cases'!$A$2:$A$55,0)),"")</f>
        <v>Enquiry Links</v>
      </c>
      <c r="C40" s="6"/>
      <c r="D40" s="7"/>
      <c r="E40" s="7"/>
      <c r="F40" s="7"/>
      <c r="G40" s="7" t="s">
        <v>403</v>
      </c>
      <c r="H40" s="8" t="s">
        <v>403</v>
      </c>
      <c r="I40" s="8"/>
      <c r="J40" s="7"/>
    </row>
    <row r="41" spans="1:10" x14ac:dyDescent="0.35">
      <c r="A41" s="2" t="s">
        <v>327</v>
      </c>
      <c r="B41" s="5" t="str">
        <f>IFERROR(INDEX('Test Cases'!$C$2:$C$55,MATCH($A41,'Test Cases'!$A$2:$A$55,0)),"")</f>
        <v>Enquiry Links</v>
      </c>
      <c r="C41" s="6"/>
      <c r="D41" s="7"/>
      <c r="E41" s="7"/>
      <c r="F41" s="7"/>
      <c r="G41" s="7" t="s">
        <v>403</v>
      </c>
      <c r="H41" s="8" t="s">
        <v>403</v>
      </c>
      <c r="I41" s="8"/>
      <c r="J41" s="7"/>
    </row>
    <row r="42" spans="1:10" x14ac:dyDescent="0.35">
      <c r="A42" s="2" t="s">
        <v>332</v>
      </c>
      <c r="B42" s="5" t="str">
        <f>IFERROR(INDEX('Test Cases'!$C$2:$C$55,MATCH($A42,'Test Cases'!$A$2:$A$55,0)),"")</f>
        <v>Enquiry Links</v>
      </c>
      <c r="C42" s="6"/>
      <c r="D42" s="7"/>
      <c r="E42" s="7"/>
      <c r="F42" s="7"/>
      <c r="G42" s="7" t="s">
        <v>403</v>
      </c>
      <c r="H42" s="8" t="s">
        <v>403</v>
      </c>
      <c r="I42" s="8"/>
      <c r="J42" s="7"/>
    </row>
    <row r="43" spans="1:10" x14ac:dyDescent="0.35">
      <c r="A43" s="2" t="s">
        <v>337</v>
      </c>
      <c r="B43" s="5" t="str">
        <f>IFERROR(INDEX('Test Cases'!$C$2:$C$55,MATCH($A43,'Test Cases'!$A$2:$A$55,0)),"")</f>
        <v>Enquiry Links</v>
      </c>
      <c r="C43" s="6"/>
      <c r="D43" s="7"/>
      <c r="E43" s="7"/>
      <c r="F43" s="7"/>
      <c r="G43" s="7" t="s">
        <v>403</v>
      </c>
      <c r="H43" s="8" t="s">
        <v>403</v>
      </c>
      <c r="I43" s="8"/>
      <c r="J43" s="7"/>
    </row>
    <row r="44" spans="1:10" x14ac:dyDescent="0.35">
      <c r="A44" s="2" t="s">
        <v>342</v>
      </c>
      <c r="B44" s="5" t="str">
        <f>IFERROR(INDEX('Test Cases'!$C$2:$C$55,MATCH($A44,'Test Cases'!$A$2:$A$55,0)),"")</f>
        <v>Contact &amp; Footer</v>
      </c>
      <c r="C44" s="6"/>
      <c r="D44" s="7"/>
      <c r="E44" s="7"/>
      <c r="F44" s="7"/>
      <c r="G44" s="7" t="s">
        <v>403</v>
      </c>
      <c r="H44" s="8" t="s">
        <v>403</v>
      </c>
      <c r="I44" s="8"/>
      <c r="J44" s="7"/>
    </row>
    <row r="45" spans="1:10" x14ac:dyDescent="0.35">
      <c r="A45" s="2" t="s">
        <v>347</v>
      </c>
      <c r="B45" s="5" t="str">
        <f>IFERROR(INDEX('Test Cases'!$C$2:$C$55,MATCH($A45,'Test Cases'!$A$2:$A$55,0)),"")</f>
        <v>Contact &amp; Footer</v>
      </c>
      <c r="C45" s="6"/>
      <c r="D45" s="7"/>
      <c r="E45" s="7"/>
      <c r="F45" s="7"/>
      <c r="G45" s="7" t="s">
        <v>403</v>
      </c>
      <c r="H45" s="8" t="s">
        <v>403</v>
      </c>
      <c r="I45" s="8"/>
      <c r="J45" s="7"/>
    </row>
    <row r="46" spans="1:10" x14ac:dyDescent="0.35">
      <c r="A46" s="2" t="s">
        <v>352</v>
      </c>
      <c r="B46" s="5" t="str">
        <f>IFERROR(INDEX('Test Cases'!$C$2:$C$55,MATCH($A46,'Test Cases'!$A$2:$A$55,0)),"")</f>
        <v>Contact &amp; Footer</v>
      </c>
      <c r="C46" s="6"/>
      <c r="D46" s="7"/>
      <c r="E46" s="7"/>
      <c r="F46" s="7"/>
      <c r="G46" s="7" t="s">
        <v>403</v>
      </c>
      <c r="H46" s="8" t="s">
        <v>403</v>
      </c>
      <c r="I46" s="8"/>
      <c r="J46" s="7"/>
    </row>
    <row r="47" spans="1:10" x14ac:dyDescent="0.35">
      <c r="A47" s="2" t="s">
        <v>356</v>
      </c>
      <c r="B47" s="5" t="str">
        <f>IFERROR(INDEX('Test Cases'!$C$2:$C$55,MATCH($A47,'Test Cases'!$A$2:$A$55,0)),"")</f>
        <v>Contact &amp; Footer</v>
      </c>
      <c r="C47" s="6"/>
      <c r="D47" s="7"/>
      <c r="E47" s="7"/>
      <c r="F47" s="7"/>
      <c r="G47" s="7" t="s">
        <v>403</v>
      </c>
      <c r="H47" s="8" t="s">
        <v>403</v>
      </c>
      <c r="I47" s="8"/>
      <c r="J47" s="7"/>
    </row>
    <row r="48" spans="1:10" x14ac:dyDescent="0.35">
      <c r="A48" s="2" t="s">
        <v>360</v>
      </c>
      <c r="B48" s="5" t="str">
        <f>IFERROR(INDEX('Test Cases'!$C$2:$C$55,MATCH($A48,'Test Cases'!$A$2:$A$55,0)),"")</f>
        <v>Responsive &amp; Compatibility</v>
      </c>
      <c r="C48" s="6"/>
      <c r="D48" s="7"/>
      <c r="E48" s="7"/>
      <c r="F48" s="7"/>
      <c r="G48" s="7" t="s">
        <v>403</v>
      </c>
      <c r="H48" s="8" t="s">
        <v>403</v>
      </c>
      <c r="I48" s="8"/>
      <c r="J48" s="7"/>
    </row>
    <row r="49" spans="1:10" x14ac:dyDescent="0.35">
      <c r="A49" s="2" t="s">
        <v>366</v>
      </c>
      <c r="B49" s="5" t="str">
        <f>IFERROR(INDEX('Test Cases'!$C$2:$C$55,MATCH($A49,'Test Cases'!$A$2:$A$55,0)),"")</f>
        <v>Responsive &amp; Compatibility</v>
      </c>
      <c r="C49" s="6"/>
      <c r="D49" s="7"/>
      <c r="E49" s="7"/>
      <c r="F49" s="7"/>
      <c r="G49" s="7" t="s">
        <v>403</v>
      </c>
      <c r="H49" s="8" t="s">
        <v>403</v>
      </c>
      <c r="I49" s="8"/>
      <c r="J49" s="7"/>
    </row>
    <row r="50" spans="1:10" x14ac:dyDescent="0.35">
      <c r="A50" s="2" t="s">
        <v>372</v>
      </c>
      <c r="B50" s="5" t="str">
        <f>IFERROR(INDEX('Test Cases'!$C$2:$C$55,MATCH($A50,'Test Cases'!$A$2:$A$55,0)),"")</f>
        <v>Responsive &amp; Compatibility</v>
      </c>
      <c r="C50" s="6"/>
      <c r="D50" s="7"/>
      <c r="E50" s="7"/>
      <c r="F50" s="7"/>
      <c r="G50" s="7" t="s">
        <v>403</v>
      </c>
      <c r="H50" s="8" t="s">
        <v>403</v>
      </c>
      <c r="I50" s="8"/>
      <c r="J50" s="7"/>
    </row>
    <row r="51" spans="1:10" x14ac:dyDescent="0.35">
      <c r="A51" s="2" t="s">
        <v>377</v>
      </c>
      <c r="B51" s="5" t="str">
        <f>IFERROR(INDEX('Test Cases'!$C$2:$C$55,MATCH($A51,'Test Cases'!$A$2:$A$55,0)),"")</f>
        <v>Responsive &amp; Compatibility</v>
      </c>
      <c r="C51" s="6"/>
      <c r="D51" s="7"/>
      <c r="E51" s="7"/>
      <c r="F51" s="7"/>
      <c r="G51" s="7" t="s">
        <v>403</v>
      </c>
      <c r="H51" s="8" t="s">
        <v>403</v>
      </c>
      <c r="I51" s="8"/>
      <c r="J51" s="7"/>
    </row>
    <row r="52" spans="1:10" x14ac:dyDescent="0.35">
      <c r="A52" s="2" t="s">
        <v>380</v>
      </c>
      <c r="B52" s="5" t="str">
        <f>IFERROR(INDEX('Test Cases'!$C$2:$C$55,MATCH($A52,'Test Cases'!$A$2:$A$55,0)),"")</f>
        <v>Responsive &amp; Compatibility</v>
      </c>
      <c r="C52" s="6"/>
      <c r="D52" s="7"/>
      <c r="E52" s="7"/>
      <c r="F52" s="7"/>
      <c r="G52" s="7" t="s">
        <v>403</v>
      </c>
      <c r="H52" s="8" t="s">
        <v>403</v>
      </c>
      <c r="I52" s="8"/>
      <c r="J52" s="7"/>
    </row>
    <row r="53" spans="1:10" x14ac:dyDescent="0.35">
      <c r="A53" s="2" t="s">
        <v>385</v>
      </c>
      <c r="B53" s="5" t="str">
        <f>IFERROR(INDEX('Test Cases'!$C$2:$C$55,MATCH($A53,'Test Cases'!$A$2:$A$55,0)),"")</f>
        <v>URL Handling &amp; Usability</v>
      </c>
      <c r="C53" s="6"/>
      <c r="D53" s="7"/>
      <c r="E53" s="7"/>
      <c r="F53" s="7"/>
      <c r="G53" s="7" t="s">
        <v>403</v>
      </c>
      <c r="H53" s="8" t="s">
        <v>403</v>
      </c>
      <c r="I53" s="8"/>
      <c r="J53" s="7"/>
    </row>
    <row r="54" spans="1:10" x14ac:dyDescent="0.35">
      <c r="A54" s="2" t="s">
        <v>390</v>
      </c>
      <c r="B54" s="5" t="str">
        <f>IFERROR(INDEX('Test Cases'!$C$2:$C$55,MATCH($A54,'Test Cases'!$A$2:$A$55,0)),"")</f>
        <v>URL Handling &amp; Usability</v>
      </c>
      <c r="C54" s="6"/>
      <c r="D54" s="7"/>
      <c r="E54" s="7"/>
      <c r="F54" s="7"/>
      <c r="G54" s="7" t="s">
        <v>403</v>
      </c>
      <c r="H54" s="8" t="s">
        <v>403</v>
      </c>
      <c r="I54" s="8"/>
      <c r="J54" s="7"/>
    </row>
    <row r="55" spans="1:10" x14ac:dyDescent="0.35">
      <c r="A55" s="2" t="s">
        <v>392</v>
      </c>
      <c r="B55" s="5" t="str">
        <f>IFERROR(INDEX('Test Cases'!$C$2:$C$55,MATCH($A55,'Test Cases'!$A$2:$A$55,0)),"")</f>
        <v>URL Handling &amp; Usability</v>
      </c>
      <c r="C55" s="6"/>
      <c r="D55" s="7"/>
      <c r="E55" s="7"/>
      <c r="F55" s="7"/>
      <c r="G55" s="7" t="s">
        <v>403</v>
      </c>
      <c r="H55" s="8" t="s">
        <v>403</v>
      </c>
      <c r="I55" s="8"/>
      <c r="J55" s="7"/>
    </row>
  </sheetData>
  <autoFilter ref="A1:J55" xr:uid="{00000000-0009-0000-0000-000002000000}"/>
  <conditionalFormatting sqref="H2:H55">
    <cfRule type="cellIs" dxfId="7" priority="2" operator="equal">
      <formula>"Pass"</formula>
    </cfRule>
    <cfRule type="cellIs" dxfId="6" priority="3" operator="equal">
      <formula>"Fail"</formula>
    </cfRule>
    <cfRule type="cellIs" dxfId="5" priority="4" operator="equal">
      <formula>"Blocked"</formula>
    </cfRule>
    <cfRule type="cellIs" dxfId="4" priority="5" operator="equal">
      <formula>"Not Executed"</formula>
    </cfRule>
  </conditionalFormatting>
  <dataValidations count="2">
    <dataValidation type="list" showErrorMessage="1" errorTitle="Invalid status" error="Choose Pass, Fail, Blocked or Not Executed." sqref="H2:H55" xr:uid="{00000000-0002-0000-0200-000000000000}">
      <formula1>"Pass,Fail,Blocked,Not Executed"</formula1>
      <formula2>0</formula2>
    </dataValidation>
    <dataValidation type="date" operator="greaterThan" allowBlank="1" showErrorMessage="1" errorTitle="Invalid date" error="Enter a valid date, e.g. 12-Oct-2026." sqref="C2:C55" xr:uid="{00000000-0002-0000-0200-000001000000}">
      <formula1>36526</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01"/>
  <sheetViews>
    <sheetView zoomScaleNormal="100" workbookViewId="0">
      <pane ySplit="1" topLeftCell="A2" activePane="bottomLeft" state="frozen"/>
      <selection pane="bottomLeft"/>
    </sheetView>
  </sheetViews>
  <sheetFormatPr defaultColWidth="8.6328125" defaultRowHeight="14.5" x14ac:dyDescent="0.35"/>
  <cols>
    <col min="1" max="1" width="10" customWidth="1"/>
    <col min="2" max="2" width="38" customWidth="1"/>
    <col min="3" max="4" width="22" customWidth="1"/>
    <col min="5" max="5" width="16" customWidth="1"/>
    <col min="6" max="6" width="28" customWidth="1"/>
    <col min="7" max="7" width="45" customWidth="1"/>
    <col min="8" max="9" width="38" customWidth="1"/>
    <col min="10" max="10" width="12" customWidth="1"/>
    <col min="11" max="11" width="11" customWidth="1"/>
    <col min="12" max="12" width="12" customWidth="1"/>
    <col min="13" max="13" width="16" customWidth="1"/>
    <col min="14" max="14" width="15" customWidth="1"/>
    <col min="15" max="16" width="30" customWidth="1"/>
  </cols>
  <sheetData>
    <row r="1" spans="1:16" ht="30" customHeight="1" x14ac:dyDescent="0.35">
      <c r="A1" s="1" t="s">
        <v>404</v>
      </c>
      <c r="B1" s="1" t="s">
        <v>405</v>
      </c>
      <c r="C1" s="1" t="s">
        <v>1</v>
      </c>
      <c r="D1" s="1" t="s">
        <v>399</v>
      </c>
      <c r="E1" s="1" t="s">
        <v>400</v>
      </c>
      <c r="F1" s="1" t="s">
        <v>127</v>
      </c>
      <c r="G1" s="1" t="s">
        <v>406</v>
      </c>
      <c r="H1" s="1" t="s">
        <v>130</v>
      </c>
      <c r="I1" s="1" t="s">
        <v>131</v>
      </c>
      <c r="J1" s="1" t="s">
        <v>407</v>
      </c>
      <c r="K1" s="1" t="s">
        <v>3</v>
      </c>
      <c r="L1" s="1" t="s">
        <v>132</v>
      </c>
      <c r="M1" s="1" t="s">
        <v>408</v>
      </c>
      <c r="N1" s="1" t="s">
        <v>409</v>
      </c>
      <c r="O1" s="1" t="s">
        <v>410</v>
      </c>
      <c r="P1" s="1" t="s">
        <v>402</v>
      </c>
    </row>
    <row r="2" spans="1:16" x14ac:dyDescent="0.35">
      <c r="A2" s="3"/>
      <c r="B2" s="3"/>
      <c r="C2" s="3"/>
      <c r="D2" s="3"/>
      <c r="E2" s="3"/>
      <c r="F2" s="3"/>
      <c r="G2" s="3"/>
      <c r="H2" s="3"/>
      <c r="I2" s="3"/>
      <c r="J2" s="3"/>
      <c r="K2" s="3"/>
      <c r="L2" s="3"/>
      <c r="M2" s="3"/>
      <c r="N2" s="9"/>
      <c r="O2" s="3"/>
      <c r="P2" s="3"/>
    </row>
    <row r="3" spans="1:16" x14ac:dyDescent="0.35">
      <c r="A3" s="3"/>
      <c r="B3" s="3"/>
      <c r="C3" s="3"/>
      <c r="D3" s="3"/>
      <c r="E3" s="3"/>
      <c r="F3" s="3"/>
      <c r="G3" s="3"/>
      <c r="H3" s="3"/>
      <c r="I3" s="3"/>
      <c r="J3" s="3"/>
      <c r="K3" s="3"/>
      <c r="L3" s="3"/>
      <c r="M3" s="3"/>
      <c r="N3" s="9"/>
      <c r="O3" s="3"/>
      <c r="P3" s="3"/>
    </row>
    <row r="4" spans="1:16" x14ac:dyDescent="0.35">
      <c r="A4" s="3"/>
      <c r="B4" s="3"/>
      <c r="C4" s="3"/>
      <c r="D4" s="3"/>
      <c r="E4" s="3"/>
      <c r="F4" s="3"/>
      <c r="G4" s="3"/>
      <c r="H4" s="3"/>
      <c r="I4" s="3"/>
      <c r="J4" s="3"/>
      <c r="K4" s="3"/>
      <c r="L4" s="3"/>
      <c r="M4" s="3"/>
      <c r="N4" s="9"/>
      <c r="O4" s="3"/>
      <c r="P4" s="3"/>
    </row>
    <row r="5" spans="1:16" x14ac:dyDescent="0.35">
      <c r="A5" s="3"/>
      <c r="B5" s="3"/>
      <c r="C5" s="3"/>
      <c r="D5" s="3"/>
      <c r="E5" s="3"/>
      <c r="F5" s="3"/>
      <c r="G5" s="3"/>
      <c r="H5" s="3"/>
      <c r="I5" s="3"/>
      <c r="J5" s="3"/>
      <c r="K5" s="3"/>
      <c r="L5" s="3"/>
      <c r="M5" s="3"/>
      <c r="N5" s="9"/>
      <c r="O5" s="3"/>
      <c r="P5" s="3"/>
    </row>
    <row r="6" spans="1:16" x14ac:dyDescent="0.35">
      <c r="A6" s="3"/>
      <c r="B6" s="3"/>
      <c r="C6" s="3"/>
      <c r="D6" s="3"/>
      <c r="E6" s="3"/>
      <c r="F6" s="3"/>
      <c r="G6" s="3"/>
      <c r="H6" s="3"/>
      <c r="I6" s="3"/>
      <c r="J6" s="3"/>
      <c r="K6" s="3"/>
      <c r="L6" s="3"/>
      <c r="M6" s="3"/>
      <c r="N6" s="9"/>
      <c r="O6" s="3"/>
      <c r="P6" s="3"/>
    </row>
    <row r="7" spans="1:16" x14ac:dyDescent="0.35">
      <c r="A7" s="3"/>
      <c r="B7" s="3"/>
      <c r="C7" s="3"/>
      <c r="D7" s="3"/>
      <c r="E7" s="3"/>
      <c r="F7" s="3"/>
      <c r="G7" s="3"/>
      <c r="H7" s="3"/>
      <c r="I7" s="3"/>
      <c r="J7" s="3"/>
      <c r="K7" s="3"/>
      <c r="L7" s="3"/>
      <c r="M7" s="3"/>
      <c r="N7" s="9"/>
      <c r="O7" s="3"/>
      <c r="P7" s="3"/>
    </row>
    <row r="8" spans="1:16" x14ac:dyDescent="0.35">
      <c r="A8" s="3"/>
      <c r="B8" s="3"/>
      <c r="C8" s="3"/>
      <c r="D8" s="3"/>
      <c r="E8" s="3"/>
      <c r="F8" s="3"/>
      <c r="G8" s="3"/>
      <c r="H8" s="3"/>
      <c r="I8" s="3"/>
      <c r="J8" s="3"/>
      <c r="K8" s="3"/>
      <c r="L8" s="3"/>
      <c r="M8" s="3"/>
      <c r="N8" s="9"/>
      <c r="O8" s="3"/>
      <c r="P8" s="3"/>
    </row>
    <row r="9" spans="1:16" x14ac:dyDescent="0.35">
      <c r="A9" s="3"/>
      <c r="B9" s="3"/>
      <c r="C9" s="3"/>
      <c r="D9" s="3"/>
      <c r="E9" s="3"/>
      <c r="F9" s="3"/>
      <c r="G9" s="3"/>
      <c r="H9" s="3"/>
      <c r="I9" s="3"/>
      <c r="J9" s="3"/>
      <c r="K9" s="3"/>
      <c r="L9" s="3"/>
      <c r="M9" s="3"/>
      <c r="N9" s="9"/>
      <c r="O9" s="3"/>
      <c r="P9" s="3"/>
    </row>
    <row r="10" spans="1:16" x14ac:dyDescent="0.35">
      <c r="A10" s="3"/>
      <c r="B10" s="3"/>
      <c r="C10" s="3"/>
      <c r="D10" s="3"/>
      <c r="E10" s="3"/>
      <c r="F10" s="3"/>
      <c r="G10" s="3"/>
      <c r="H10" s="3"/>
      <c r="I10" s="3"/>
      <c r="J10" s="3"/>
      <c r="K10" s="3"/>
      <c r="L10" s="3"/>
      <c r="M10" s="3"/>
      <c r="N10" s="9"/>
      <c r="O10" s="3"/>
      <c r="P10" s="3"/>
    </row>
    <row r="11" spans="1:16" x14ac:dyDescent="0.35">
      <c r="A11" s="3"/>
      <c r="B11" s="3"/>
      <c r="C11" s="3"/>
      <c r="D11" s="3"/>
      <c r="E11" s="3"/>
      <c r="F11" s="3"/>
      <c r="G11" s="3"/>
      <c r="H11" s="3"/>
      <c r="I11" s="3"/>
      <c r="J11" s="3"/>
      <c r="K11" s="3"/>
      <c r="L11" s="3"/>
      <c r="M11" s="3"/>
      <c r="N11" s="9"/>
      <c r="O11" s="3"/>
      <c r="P11" s="3"/>
    </row>
    <row r="12" spans="1:16" x14ac:dyDescent="0.35">
      <c r="A12" s="3"/>
      <c r="B12" s="3"/>
      <c r="C12" s="3"/>
      <c r="D12" s="3"/>
      <c r="E12" s="3"/>
      <c r="F12" s="3"/>
      <c r="G12" s="3"/>
      <c r="H12" s="3"/>
      <c r="I12" s="3"/>
      <c r="J12" s="3"/>
      <c r="K12" s="3"/>
      <c r="L12" s="3"/>
      <c r="M12" s="3"/>
      <c r="N12" s="9"/>
      <c r="O12" s="3"/>
      <c r="P12" s="3"/>
    </row>
    <row r="13" spans="1:16" x14ac:dyDescent="0.35">
      <c r="A13" s="3"/>
      <c r="B13" s="3"/>
      <c r="C13" s="3"/>
      <c r="D13" s="3"/>
      <c r="E13" s="3"/>
      <c r="F13" s="3"/>
      <c r="G13" s="3"/>
      <c r="H13" s="3"/>
      <c r="I13" s="3"/>
      <c r="J13" s="3"/>
      <c r="K13" s="3"/>
      <c r="L13" s="3"/>
      <c r="M13" s="3"/>
      <c r="N13" s="9"/>
      <c r="O13" s="3"/>
      <c r="P13" s="3"/>
    </row>
    <row r="14" spans="1:16" x14ac:dyDescent="0.35">
      <c r="A14" s="3"/>
      <c r="B14" s="3"/>
      <c r="C14" s="3"/>
      <c r="D14" s="3"/>
      <c r="E14" s="3"/>
      <c r="F14" s="3"/>
      <c r="G14" s="3"/>
      <c r="H14" s="3"/>
      <c r="I14" s="3"/>
      <c r="J14" s="3"/>
      <c r="K14" s="3"/>
      <c r="L14" s="3"/>
      <c r="M14" s="3"/>
      <c r="N14" s="9"/>
      <c r="O14" s="3"/>
      <c r="P14" s="3"/>
    </row>
    <row r="15" spans="1:16" x14ac:dyDescent="0.35">
      <c r="A15" s="3"/>
      <c r="B15" s="3"/>
      <c r="C15" s="3"/>
      <c r="D15" s="3"/>
      <c r="E15" s="3"/>
      <c r="F15" s="3"/>
      <c r="G15" s="3"/>
      <c r="H15" s="3"/>
      <c r="I15" s="3"/>
      <c r="J15" s="3"/>
      <c r="K15" s="3"/>
      <c r="L15" s="3"/>
      <c r="M15" s="3"/>
      <c r="N15" s="9"/>
      <c r="O15" s="3"/>
      <c r="P15" s="3"/>
    </row>
    <row r="16" spans="1:16" x14ac:dyDescent="0.35">
      <c r="A16" s="3"/>
      <c r="B16" s="3"/>
      <c r="C16" s="3"/>
      <c r="D16" s="3"/>
      <c r="E16" s="3"/>
      <c r="F16" s="3"/>
      <c r="G16" s="3"/>
      <c r="H16" s="3"/>
      <c r="I16" s="3"/>
      <c r="J16" s="3"/>
      <c r="K16" s="3"/>
      <c r="L16" s="3"/>
      <c r="M16" s="3"/>
      <c r="N16" s="9"/>
      <c r="O16" s="3"/>
      <c r="P16" s="3"/>
    </row>
    <row r="17" spans="1:16" x14ac:dyDescent="0.35">
      <c r="A17" s="3"/>
      <c r="B17" s="3"/>
      <c r="C17" s="3"/>
      <c r="D17" s="3"/>
      <c r="E17" s="3"/>
      <c r="F17" s="3"/>
      <c r="G17" s="3"/>
      <c r="H17" s="3"/>
      <c r="I17" s="3"/>
      <c r="J17" s="3"/>
      <c r="K17" s="3"/>
      <c r="L17" s="3"/>
      <c r="M17" s="3"/>
      <c r="N17" s="9"/>
      <c r="O17" s="3"/>
      <c r="P17" s="3"/>
    </row>
    <row r="18" spans="1:16" x14ac:dyDescent="0.35">
      <c r="A18" s="3"/>
      <c r="B18" s="3"/>
      <c r="C18" s="3"/>
      <c r="D18" s="3"/>
      <c r="E18" s="3"/>
      <c r="F18" s="3"/>
      <c r="G18" s="3"/>
      <c r="H18" s="3"/>
      <c r="I18" s="3"/>
      <c r="J18" s="3"/>
      <c r="K18" s="3"/>
      <c r="L18" s="3"/>
      <c r="M18" s="3"/>
      <c r="N18" s="9"/>
      <c r="O18" s="3"/>
      <c r="P18" s="3"/>
    </row>
    <row r="19" spans="1:16" x14ac:dyDescent="0.35">
      <c r="A19" s="3"/>
      <c r="B19" s="3"/>
      <c r="C19" s="3"/>
      <c r="D19" s="3"/>
      <c r="E19" s="3"/>
      <c r="F19" s="3"/>
      <c r="G19" s="3"/>
      <c r="H19" s="3"/>
      <c r="I19" s="3"/>
      <c r="J19" s="3"/>
      <c r="K19" s="3"/>
      <c r="L19" s="3"/>
      <c r="M19" s="3"/>
      <c r="N19" s="9"/>
      <c r="O19" s="3"/>
      <c r="P19" s="3"/>
    </row>
    <row r="20" spans="1:16" x14ac:dyDescent="0.35">
      <c r="A20" s="3"/>
      <c r="B20" s="3"/>
      <c r="C20" s="3"/>
      <c r="D20" s="3"/>
      <c r="E20" s="3"/>
      <c r="F20" s="3"/>
      <c r="G20" s="3"/>
      <c r="H20" s="3"/>
      <c r="I20" s="3"/>
      <c r="J20" s="3"/>
      <c r="K20" s="3"/>
      <c r="L20" s="3"/>
      <c r="M20" s="3"/>
      <c r="N20" s="9"/>
      <c r="O20" s="3"/>
      <c r="P20" s="3"/>
    </row>
    <row r="21" spans="1:16" x14ac:dyDescent="0.35">
      <c r="A21" s="3"/>
      <c r="B21" s="3"/>
      <c r="C21" s="3"/>
      <c r="D21" s="3"/>
      <c r="E21" s="3"/>
      <c r="F21" s="3"/>
      <c r="G21" s="3"/>
      <c r="H21" s="3"/>
      <c r="I21" s="3"/>
      <c r="J21" s="3"/>
      <c r="K21" s="3"/>
      <c r="L21" s="3"/>
      <c r="M21" s="3"/>
      <c r="N21" s="9"/>
      <c r="O21" s="3"/>
      <c r="P21" s="3"/>
    </row>
    <row r="22" spans="1:16" x14ac:dyDescent="0.35">
      <c r="A22" s="3"/>
      <c r="B22" s="3"/>
      <c r="C22" s="3"/>
      <c r="D22" s="3"/>
      <c r="E22" s="3"/>
      <c r="F22" s="3"/>
      <c r="G22" s="3"/>
      <c r="H22" s="3"/>
      <c r="I22" s="3"/>
      <c r="J22" s="3"/>
      <c r="K22" s="3"/>
      <c r="L22" s="3"/>
      <c r="M22" s="3"/>
      <c r="N22" s="9"/>
      <c r="O22" s="3"/>
      <c r="P22" s="3"/>
    </row>
    <row r="23" spans="1:16" x14ac:dyDescent="0.35">
      <c r="A23" s="3"/>
      <c r="B23" s="3"/>
      <c r="C23" s="3"/>
      <c r="D23" s="3"/>
      <c r="E23" s="3"/>
      <c r="F23" s="3"/>
      <c r="G23" s="3"/>
      <c r="H23" s="3"/>
      <c r="I23" s="3"/>
      <c r="J23" s="3"/>
      <c r="K23" s="3"/>
      <c r="L23" s="3"/>
      <c r="M23" s="3"/>
      <c r="N23" s="9"/>
      <c r="O23" s="3"/>
      <c r="P23" s="3"/>
    </row>
    <row r="24" spans="1:16" x14ac:dyDescent="0.35">
      <c r="A24" s="3"/>
      <c r="B24" s="3"/>
      <c r="C24" s="3"/>
      <c r="D24" s="3"/>
      <c r="E24" s="3"/>
      <c r="F24" s="3"/>
      <c r="G24" s="3"/>
      <c r="H24" s="3"/>
      <c r="I24" s="3"/>
      <c r="J24" s="3"/>
      <c r="K24" s="3"/>
      <c r="L24" s="3"/>
      <c r="M24" s="3"/>
      <c r="N24" s="9"/>
      <c r="O24" s="3"/>
      <c r="P24" s="3"/>
    </row>
    <row r="25" spans="1:16" x14ac:dyDescent="0.35">
      <c r="A25" s="3"/>
      <c r="B25" s="3"/>
      <c r="C25" s="3"/>
      <c r="D25" s="3"/>
      <c r="E25" s="3"/>
      <c r="F25" s="3"/>
      <c r="G25" s="3"/>
      <c r="H25" s="3"/>
      <c r="I25" s="3"/>
      <c r="J25" s="3"/>
      <c r="K25" s="3"/>
      <c r="L25" s="3"/>
      <c r="M25" s="3"/>
      <c r="N25" s="9"/>
      <c r="O25" s="3"/>
      <c r="P25" s="3"/>
    </row>
    <row r="26" spans="1:16" x14ac:dyDescent="0.35">
      <c r="A26" s="3"/>
      <c r="B26" s="3"/>
      <c r="C26" s="3"/>
      <c r="D26" s="3"/>
      <c r="E26" s="3"/>
      <c r="F26" s="3"/>
      <c r="G26" s="3"/>
      <c r="H26" s="3"/>
      <c r="I26" s="3"/>
      <c r="J26" s="3"/>
      <c r="K26" s="3"/>
      <c r="L26" s="3"/>
      <c r="M26" s="3"/>
      <c r="N26" s="9"/>
      <c r="O26" s="3"/>
      <c r="P26" s="3"/>
    </row>
    <row r="27" spans="1:16" x14ac:dyDescent="0.35">
      <c r="A27" s="3"/>
      <c r="B27" s="3"/>
      <c r="C27" s="3"/>
      <c r="D27" s="3"/>
      <c r="E27" s="3"/>
      <c r="F27" s="3"/>
      <c r="G27" s="3"/>
      <c r="H27" s="3"/>
      <c r="I27" s="3"/>
      <c r="J27" s="3"/>
      <c r="K27" s="3"/>
      <c r="L27" s="3"/>
      <c r="M27" s="3"/>
      <c r="N27" s="9"/>
      <c r="O27" s="3"/>
      <c r="P27" s="3"/>
    </row>
    <row r="28" spans="1:16" x14ac:dyDescent="0.35">
      <c r="A28" s="3"/>
      <c r="B28" s="3"/>
      <c r="C28" s="3"/>
      <c r="D28" s="3"/>
      <c r="E28" s="3"/>
      <c r="F28" s="3"/>
      <c r="G28" s="3"/>
      <c r="H28" s="3"/>
      <c r="I28" s="3"/>
      <c r="J28" s="3"/>
      <c r="K28" s="3"/>
      <c r="L28" s="3"/>
      <c r="M28" s="3"/>
      <c r="N28" s="9"/>
      <c r="O28" s="3"/>
      <c r="P28" s="3"/>
    </row>
    <row r="29" spans="1:16" x14ac:dyDescent="0.35">
      <c r="A29" s="3"/>
      <c r="B29" s="3"/>
      <c r="C29" s="3"/>
      <c r="D29" s="3"/>
      <c r="E29" s="3"/>
      <c r="F29" s="3"/>
      <c r="G29" s="3"/>
      <c r="H29" s="3"/>
      <c r="I29" s="3"/>
      <c r="J29" s="3"/>
      <c r="K29" s="3"/>
      <c r="L29" s="3"/>
      <c r="M29" s="3"/>
      <c r="N29" s="9"/>
      <c r="O29" s="3"/>
      <c r="P29" s="3"/>
    </row>
    <row r="30" spans="1:16" x14ac:dyDescent="0.35">
      <c r="A30" s="3"/>
      <c r="B30" s="3"/>
      <c r="C30" s="3"/>
      <c r="D30" s="3"/>
      <c r="E30" s="3"/>
      <c r="F30" s="3"/>
      <c r="G30" s="3"/>
      <c r="H30" s="3"/>
      <c r="I30" s="3"/>
      <c r="J30" s="3"/>
      <c r="K30" s="3"/>
      <c r="L30" s="3"/>
      <c r="M30" s="3"/>
      <c r="N30" s="9"/>
      <c r="O30" s="3"/>
      <c r="P30" s="3"/>
    </row>
    <row r="31" spans="1:16" x14ac:dyDescent="0.35">
      <c r="A31" s="3"/>
      <c r="B31" s="3"/>
      <c r="C31" s="3"/>
      <c r="D31" s="3"/>
      <c r="E31" s="3"/>
      <c r="F31" s="3"/>
      <c r="G31" s="3"/>
      <c r="H31" s="3"/>
      <c r="I31" s="3"/>
      <c r="J31" s="3"/>
      <c r="K31" s="3"/>
      <c r="L31" s="3"/>
      <c r="M31" s="3"/>
      <c r="N31" s="9"/>
      <c r="O31" s="3"/>
      <c r="P31" s="3"/>
    </row>
    <row r="32" spans="1:16" x14ac:dyDescent="0.35">
      <c r="A32" s="3"/>
      <c r="B32" s="3"/>
      <c r="C32" s="3"/>
      <c r="D32" s="3"/>
      <c r="E32" s="3"/>
      <c r="F32" s="3"/>
      <c r="G32" s="3"/>
      <c r="H32" s="3"/>
      <c r="I32" s="3"/>
      <c r="J32" s="3"/>
      <c r="K32" s="3"/>
      <c r="L32" s="3"/>
      <c r="M32" s="3"/>
      <c r="N32" s="9"/>
      <c r="O32" s="3"/>
      <c r="P32" s="3"/>
    </row>
    <row r="33" spans="1:16" x14ac:dyDescent="0.35">
      <c r="A33" s="3"/>
      <c r="B33" s="3"/>
      <c r="C33" s="3"/>
      <c r="D33" s="3"/>
      <c r="E33" s="3"/>
      <c r="F33" s="3"/>
      <c r="G33" s="3"/>
      <c r="H33" s="3"/>
      <c r="I33" s="3"/>
      <c r="J33" s="3"/>
      <c r="K33" s="3"/>
      <c r="L33" s="3"/>
      <c r="M33" s="3"/>
      <c r="N33" s="9"/>
      <c r="O33" s="3"/>
      <c r="P33" s="3"/>
    </row>
    <row r="34" spans="1:16" x14ac:dyDescent="0.35">
      <c r="A34" s="3"/>
      <c r="B34" s="3"/>
      <c r="C34" s="3"/>
      <c r="D34" s="3"/>
      <c r="E34" s="3"/>
      <c r="F34" s="3"/>
      <c r="G34" s="3"/>
      <c r="H34" s="3"/>
      <c r="I34" s="3"/>
      <c r="J34" s="3"/>
      <c r="K34" s="3"/>
      <c r="L34" s="3"/>
      <c r="M34" s="3"/>
      <c r="N34" s="9"/>
      <c r="O34" s="3"/>
      <c r="P34" s="3"/>
    </row>
    <row r="35" spans="1:16" x14ac:dyDescent="0.35">
      <c r="A35" s="3"/>
      <c r="B35" s="3"/>
      <c r="C35" s="3"/>
      <c r="D35" s="3"/>
      <c r="E35" s="3"/>
      <c r="F35" s="3"/>
      <c r="G35" s="3"/>
      <c r="H35" s="3"/>
      <c r="I35" s="3"/>
      <c r="J35" s="3"/>
      <c r="K35" s="3"/>
      <c r="L35" s="3"/>
      <c r="M35" s="3"/>
      <c r="N35" s="9"/>
      <c r="O35" s="3"/>
      <c r="P35" s="3"/>
    </row>
    <row r="36" spans="1:16" x14ac:dyDescent="0.35">
      <c r="A36" s="3"/>
      <c r="B36" s="3"/>
      <c r="C36" s="3"/>
      <c r="D36" s="3"/>
      <c r="E36" s="3"/>
      <c r="F36" s="3"/>
      <c r="G36" s="3"/>
      <c r="H36" s="3"/>
      <c r="I36" s="3"/>
      <c r="J36" s="3"/>
      <c r="K36" s="3"/>
      <c r="L36" s="3"/>
      <c r="M36" s="3"/>
      <c r="N36" s="9"/>
      <c r="O36" s="3"/>
      <c r="P36" s="3"/>
    </row>
    <row r="37" spans="1:16" x14ac:dyDescent="0.35">
      <c r="A37" s="3"/>
      <c r="B37" s="3"/>
      <c r="C37" s="3"/>
      <c r="D37" s="3"/>
      <c r="E37" s="3"/>
      <c r="F37" s="3"/>
      <c r="G37" s="3"/>
      <c r="H37" s="3"/>
      <c r="I37" s="3"/>
      <c r="J37" s="3"/>
      <c r="K37" s="3"/>
      <c r="L37" s="3"/>
      <c r="M37" s="3"/>
      <c r="N37" s="9"/>
      <c r="O37" s="3"/>
      <c r="P37" s="3"/>
    </row>
    <row r="38" spans="1:16" x14ac:dyDescent="0.35">
      <c r="A38" s="3"/>
      <c r="B38" s="3"/>
      <c r="C38" s="3"/>
      <c r="D38" s="3"/>
      <c r="E38" s="3"/>
      <c r="F38" s="3"/>
      <c r="G38" s="3"/>
      <c r="H38" s="3"/>
      <c r="I38" s="3"/>
      <c r="J38" s="3"/>
      <c r="K38" s="3"/>
      <c r="L38" s="3"/>
      <c r="M38" s="3"/>
      <c r="N38" s="9"/>
      <c r="O38" s="3"/>
      <c r="P38" s="3"/>
    </row>
    <row r="39" spans="1:16" x14ac:dyDescent="0.35">
      <c r="A39" s="3"/>
      <c r="B39" s="3"/>
      <c r="C39" s="3"/>
      <c r="D39" s="3"/>
      <c r="E39" s="3"/>
      <c r="F39" s="3"/>
      <c r="G39" s="3"/>
      <c r="H39" s="3"/>
      <c r="I39" s="3"/>
      <c r="J39" s="3"/>
      <c r="K39" s="3"/>
      <c r="L39" s="3"/>
      <c r="M39" s="3"/>
      <c r="N39" s="9"/>
      <c r="O39" s="3"/>
      <c r="P39" s="3"/>
    </row>
    <row r="40" spans="1:16" x14ac:dyDescent="0.35">
      <c r="A40" s="3"/>
      <c r="B40" s="3"/>
      <c r="C40" s="3"/>
      <c r="D40" s="3"/>
      <c r="E40" s="3"/>
      <c r="F40" s="3"/>
      <c r="G40" s="3"/>
      <c r="H40" s="3"/>
      <c r="I40" s="3"/>
      <c r="J40" s="3"/>
      <c r="K40" s="3"/>
      <c r="L40" s="3"/>
      <c r="M40" s="3"/>
      <c r="N40" s="9"/>
      <c r="O40" s="3"/>
      <c r="P40" s="3"/>
    </row>
    <row r="41" spans="1:16" x14ac:dyDescent="0.35">
      <c r="A41" s="3"/>
      <c r="B41" s="3"/>
      <c r="C41" s="3"/>
      <c r="D41" s="3"/>
      <c r="E41" s="3"/>
      <c r="F41" s="3"/>
      <c r="G41" s="3"/>
      <c r="H41" s="3"/>
      <c r="I41" s="3"/>
      <c r="J41" s="3"/>
      <c r="K41" s="3"/>
      <c r="L41" s="3"/>
      <c r="M41" s="3"/>
      <c r="N41" s="9"/>
      <c r="O41" s="3"/>
      <c r="P41" s="3"/>
    </row>
    <row r="42" spans="1:16" x14ac:dyDescent="0.35">
      <c r="A42" s="3"/>
      <c r="B42" s="3"/>
      <c r="C42" s="3"/>
      <c r="D42" s="3"/>
      <c r="E42" s="3"/>
      <c r="F42" s="3"/>
      <c r="G42" s="3"/>
      <c r="H42" s="3"/>
      <c r="I42" s="3"/>
      <c r="J42" s="3"/>
      <c r="K42" s="3"/>
      <c r="L42" s="3"/>
      <c r="M42" s="3"/>
      <c r="N42" s="9"/>
      <c r="O42" s="3"/>
      <c r="P42" s="3"/>
    </row>
    <row r="43" spans="1:16" x14ac:dyDescent="0.35">
      <c r="A43" s="3"/>
      <c r="B43" s="3"/>
      <c r="C43" s="3"/>
      <c r="D43" s="3"/>
      <c r="E43" s="3"/>
      <c r="F43" s="3"/>
      <c r="G43" s="3"/>
      <c r="H43" s="3"/>
      <c r="I43" s="3"/>
      <c r="J43" s="3"/>
      <c r="K43" s="3"/>
      <c r="L43" s="3"/>
      <c r="M43" s="3"/>
      <c r="N43" s="9"/>
      <c r="O43" s="3"/>
      <c r="P43" s="3"/>
    </row>
    <row r="44" spans="1:16" x14ac:dyDescent="0.35">
      <c r="A44" s="3"/>
      <c r="B44" s="3"/>
      <c r="C44" s="3"/>
      <c r="D44" s="3"/>
      <c r="E44" s="3"/>
      <c r="F44" s="3"/>
      <c r="G44" s="3"/>
      <c r="H44" s="3"/>
      <c r="I44" s="3"/>
      <c r="J44" s="3"/>
      <c r="K44" s="3"/>
      <c r="L44" s="3"/>
      <c r="M44" s="3"/>
      <c r="N44" s="9"/>
      <c r="O44" s="3"/>
      <c r="P44" s="3"/>
    </row>
    <row r="45" spans="1:16" x14ac:dyDescent="0.35">
      <c r="A45" s="3"/>
      <c r="B45" s="3"/>
      <c r="C45" s="3"/>
      <c r="D45" s="3"/>
      <c r="E45" s="3"/>
      <c r="F45" s="3"/>
      <c r="G45" s="3"/>
      <c r="H45" s="3"/>
      <c r="I45" s="3"/>
      <c r="J45" s="3"/>
      <c r="K45" s="3"/>
      <c r="L45" s="3"/>
      <c r="M45" s="3"/>
      <c r="N45" s="9"/>
      <c r="O45" s="3"/>
      <c r="P45" s="3"/>
    </row>
    <row r="46" spans="1:16" x14ac:dyDescent="0.35">
      <c r="A46" s="3"/>
      <c r="B46" s="3"/>
      <c r="C46" s="3"/>
      <c r="D46" s="3"/>
      <c r="E46" s="3"/>
      <c r="F46" s="3"/>
      <c r="G46" s="3"/>
      <c r="H46" s="3"/>
      <c r="I46" s="3"/>
      <c r="J46" s="3"/>
      <c r="K46" s="3"/>
      <c r="L46" s="3"/>
      <c r="M46" s="3"/>
      <c r="N46" s="9"/>
      <c r="O46" s="3"/>
      <c r="P46" s="3"/>
    </row>
    <row r="47" spans="1:16" x14ac:dyDescent="0.35">
      <c r="A47" s="3"/>
      <c r="B47" s="3"/>
      <c r="C47" s="3"/>
      <c r="D47" s="3"/>
      <c r="E47" s="3"/>
      <c r="F47" s="3"/>
      <c r="G47" s="3"/>
      <c r="H47" s="3"/>
      <c r="I47" s="3"/>
      <c r="J47" s="3"/>
      <c r="K47" s="3"/>
      <c r="L47" s="3"/>
      <c r="M47" s="3"/>
      <c r="N47" s="9"/>
      <c r="O47" s="3"/>
      <c r="P47" s="3"/>
    </row>
    <row r="48" spans="1:16" x14ac:dyDescent="0.35">
      <c r="A48" s="3"/>
      <c r="B48" s="3"/>
      <c r="C48" s="3"/>
      <c r="D48" s="3"/>
      <c r="E48" s="3"/>
      <c r="F48" s="3"/>
      <c r="G48" s="3"/>
      <c r="H48" s="3"/>
      <c r="I48" s="3"/>
      <c r="J48" s="3"/>
      <c r="K48" s="3"/>
      <c r="L48" s="3"/>
      <c r="M48" s="3"/>
      <c r="N48" s="9"/>
      <c r="O48" s="3"/>
      <c r="P48" s="3"/>
    </row>
    <row r="49" spans="1:16" x14ac:dyDescent="0.35">
      <c r="A49" s="3"/>
      <c r="B49" s="3"/>
      <c r="C49" s="3"/>
      <c r="D49" s="3"/>
      <c r="E49" s="3"/>
      <c r="F49" s="3"/>
      <c r="G49" s="3"/>
      <c r="H49" s="3"/>
      <c r="I49" s="3"/>
      <c r="J49" s="3"/>
      <c r="K49" s="3"/>
      <c r="L49" s="3"/>
      <c r="M49" s="3"/>
      <c r="N49" s="9"/>
      <c r="O49" s="3"/>
      <c r="P49" s="3"/>
    </row>
    <row r="50" spans="1:16" x14ac:dyDescent="0.35">
      <c r="A50" s="3"/>
      <c r="B50" s="3"/>
      <c r="C50" s="3"/>
      <c r="D50" s="3"/>
      <c r="E50" s="3"/>
      <c r="F50" s="3"/>
      <c r="G50" s="3"/>
      <c r="H50" s="3"/>
      <c r="I50" s="3"/>
      <c r="J50" s="3"/>
      <c r="K50" s="3"/>
      <c r="L50" s="3"/>
      <c r="M50" s="3"/>
      <c r="N50" s="9"/>
      <c r="O50" s="3"/>
      <c r="P50" s="3"/>
    </row>
    <row r="51" spans="1:16" x14ac:dyDescent="0.35">
      <c r="A51" s="3"/>
      <c r="B51" s="3"/>
      <c r="C51" s="3"/>
      <c r="D51" s="3"/>
      <c r="E51" s="3"/>
      <c r="F51" s="3"/>
      <c r="G51" s="3"/>
      <c r="H51" s="3"/>
      <c r="I51" s="3"/>
      <c r="J51" s="3"/>
      <c r="K51" s="3"/>
      <c r="L51" s="3"/>
      <c r="M51" s="3"/>
      <c r="N51" s="9"/>
      <c r="O51" s="3"/>
      <c r="P51" s="3"/>
    </row>
    <row r="52" spans="1:16" x14ac:dyDescent="0.35">
      <c r="A52" s="3"/>
      <c r="B52" s="3"/>
      <c r="C52" s="3"/>
      <c r="D52" s="3"/>
      <c r="E52" s="3"/>
      <c r="F52" s="3"/>
      <c r="G52" s="3"/>
      <c r="H52" s="3"/>
      <c r="I52" s="3"/>
      <c r="J52" s="3"/>
      <c r="K52" s="3"/>
      <c r="L52" s="3"/>
      <c r="M52" s="3"/>
      <c r="N52" s="9"/>
      <c r="O52" s="3"/>
      <c r="P52" s="3"/>
    </row>
    <row r="53" spans="1:16" x14ac:dyDescent="0.35">
      <c r="A53" s="3"/>
      <c r="B53" s="3"/>
      <c r="C53" s="3"/>
      <c r="D53" s="3"/>
      <c r="E53" s="3"/>
      <c r="F53" s="3"/>
      <c r="G53" s="3"/>
      <c r="H53" s="3"/>
      <c r="I53" s="3"/>
      <c r="J53" s="3"/>
      <c r="K53" s="3"/>
      <c r="L53" s="3"/>
      <c r="M53" s="3"/>
      <c r="N53" s="9"/>
      <c r="O53" s="3"/>
      <c r="P53" s="3"/>
    </row>
    <row r="54" spans="1:16" x14ac:dyDescent="0.35">
      <c r="A54" s="3"/>
      <c r="B54" s="3"/>
      <c r="C54" s="3"/>
      <c r="D54" s="3"/>
      <c r="E54" s="3"/>
      <c r="F54" s="3"/>
      <c r="G54" s="3"/>
      <c r="H54" s="3"/>
      <c r="I54" s="3"/>
      <c r="J54" s="3"/>
      <c r="K54" s="3"/>
      <c r="L54" s="3"/>
      <c r="M54" s="3"/>
      <c r="N54" s="9"/>
      <c r="O54" s="3"/>
      <c r="P54" s="3"/>
    </row>
    <row r="55" spans="1:16" x14ac:dyDescent="0.35">
      <c r="A55" s="3"/>
      <c r="B55" s="3"/>
      <c r="C55" s="3"/>
      <c r="D55" s="3"/>
      <c r="E55" s="3"/>
      <c r="F55" s="3"/>
      <c r="G55" s="3"/>
      <c r="H55" s="3"/>
      <c r="I55" s="3"/>
      <c r="J55" s="3"/>
      <c r="K55" s="3"/>
      <c r="L55" s="3"/>
      <c r="M55" s="3"/>
      <c r="N55" s="9"/>
      <c r="O55" s="3"/>
      <c r="P55" s="3"/>
    </row>
    <row r="56" spans="1:16" x14ac:dyDescent="0.35">
      <c r="A56" s="3"/>
      <c r="B56" s="3"/>
      <c r="C56" s="3"/>
      <c r="D56" s="3"/>
      <c r="E56" s="3"/>
      <c r="F56" s="3"/>
      <c r="G56" s="3"/>
      <c r="H56" s="3"/>
      <c r="I56" s="3"/>
      <c r="J56" s="3"/>
      <c r="K56" s="3"/>
      <c r="L56" s="3"/>
      <c r="M56" s="3"/>
      <c r="N56" s="9"/>
      <c r="O56" s="3"/>
      <c r="P56" s="3"/>
    </row>
    <row r="57" spans="1:16" x14ac:dyDescent="0.35">
      <c r="A57" s="3"/>
      <c r="B57" s="3"/>
      <c r="C57" s="3"/>
      <c r="D57" s="3"/>
      <c r="E57" s="3"/>
      <c r="F57" s="3"/>
      <c r="G57" s="3"/>
      <c r="H57" s="3"/>
      <c r="I57" s="3"/>
      <c r="J57" s="3"/>
      <c r="K57" s="3"/>
      <c r="L57" s="3"/>
      <c r="M57" s="3"/>
      <c r="N57" s="9"/>
      <c r="O57" s="3"/>
      <c r="P57" s="3"/>
    </row>
    <row r="58" spans="1:16" x14ac:dyDescent="0.35">
      <c r="A58" s="3"/>
      <c r="B58" s="3"/>
      <c r="C58" s="3"/>
      <c r="D58" s="3"/>
      <c r="E58" s="3"/>
      <c r="F58" s="3"/>
      <c r="G58" s="3"/>
      <c r="H58" s="3"/>
      <c r="I58" s="3"/>
      <c r="J58" s="3"/>
      <c r="K58" s="3"/>
      <c r="L58" s="3"/>
      <c r="M58" s="3"/>
      <c r="N58" s="9"/>
      <c r="O58" s="3"/>
      <c r="P58" s="3"/>
    </row>
    <row r="59" spans="1:16" x14ac:dyDescent="0.35">
      <c r="A59" s="3"/>
      <c r="B59" s="3"/>
      <c r="C59" s="3"/>
      <c r="D59" s="3"/>
      <c r="E59" s="3"/>
      <c r="F59" s="3"/>
      <c r="G59" s="3"/>
      <c r="H59" s="3"/>
      <c r="I59" s="3"/>
      <c r="J59" s="3"/>
      <c r="K59" s="3"/>
      <c r="L59" s="3"/>
      <c r="M59" s="3"/>
      <c r="N59" s="9"/>
      <c r="O59" s="3"/>
      <c r="P59" s="3"/>
    </row>
    <row r="60" spans="1:16" x14ac:dyDescent="0.35">
      <c r="A60" s="3"/>
      <c r="B60" s="3"/>
      <c r="C60" s="3"/>
      <c r="D60" s="3"/>
      <c r="E60" s="3"/>
      <c r="F60" s="3"/>
      <c r="G60" s="3"/>
      <c r="H60" s="3"/>
      <c r="I60" s="3"/>
      <c r="J60" s="3"/>
      <c r="K60" s="3"/>
      <c r="L60" s="3"/>
      <c r="M60" s="3"/>
      <c r="N60" s="9"/>
      <c r="O60" s="3"/>
      <c r="P60" s="3"/>
    </row>
    <row r="61" spans="1:16" x14ac:dyDescent="0.35">
      <c r="A61" s="3"/>
      <c r="B61" s="3"/>
      <c r="C61" s="3"/>
      <c r="D61" s="3"/>
      <c r="E61" s="3"/>
      <c r="F61" s="3"/>
      <c r="G61" s="3"/>
      <c r="H61" s="3"/>
      <c r="I61" s="3"/>
      <c r="J61" s="3"/>
      <c r="K61" s="3"/>
      <c r="L61" s="3"/>
      <c r="M61" s="3"/>
      <c r="N61" s="9"/>
      <c r="O61" s="3"/>
      <c r="P61" s="3"/>
    </row>
    <row r="62" spans="1:16" x14ac:dyDescent="0.35">
      <c r="A62" s="3"/>
      <c r="B62" s="3"/>
      <c r="C62" s="3"/>
      <c r="D62" s="3"/>
      <c r="E62" s="3"/>
      <c r="F62" s="3"/>
      <c r="G62" s="3"/>
      <c r="H62" s="3"/>
      <c r="I62" s="3"/>
      <c r="J62" s="3"/>
      <c r="K62" s="3"/>
      <c r="L62" s="3"/>
      <c r="M62" s="3"/>
      <c r="N62" s="9"/>
      <c r="O62" s="3"/>
      <c r="P62" s="3"/>
    </row>
    <row r="63" spans="1:16" x14ac:dyDescent="0.35">
      <c r="A63" s="3"/>
      <c r="B63" s="3"/>
      <c r="C63" s="3"/>
      <c r="D63" s="3"/>
      <c r="E63" s="3"/>
      <c r="F63" s="3"/>
      <c r="G63" s="3"/>
      <c r="H63" s="3"/>
      <c r="I63" s="3"/>
      <c r="J63" s="3"/>
      <c r="K63" s="3"/>
      <c r="L63" s="3"/>
      <c r="M63" s="3"/>
      <c r="N63" s="9"/>
      <c r="O63" s="3"/>
      <c r="P63" s="3"/>
    </row>
    <row r="64" spans="1:16" x14ac:dyDescent="0.35">
      <c r="A64" s="3"/>
      <c r="B64" s="3"/>
      <c r="C64" s="3"/>
      <c r="D64" s="3"/>
      <c r="E64" s="3"/>
      <c r="F64" s="3"/>
      <c r="G64" s="3"/>
      <c r="H64" s="3"/>
      <c r="I64" s="3"/>
      <c r="J64" s="3"/>
      <c r="K64" s="3"/>
      <c r="L64" s="3"/>
      <c r="M64" s="3"/>
      <c r="N64" s="9"/>
      <c r="O64" s="3"/>
      <c r="P64" s="3"/>
    </row>
    <row r="65" spans="1:16" x14ac:dyDescent="0.35">
      <c r="A65" s="3"/>
      <c r="B65" s="3"/>
      <c r="C65" s="3"/>
      <c r="D65" s="3"/>
      <c r="E65" s="3"/>
      <c r="F65" s="3"/>
      <c r="G65" s="3"/>
      <c r="H65" s="3"/>
      <c r="I65" s="3"/>
      <c r="J65" s="3"/>
      <c r="K65" s="3"/>
      <c r="L65" s="3"/>
      <c r="M65" s="3"/>
      <c r="N65" s="9"/>
      <c r="O65" s="3"/>
      <c r="P65" s="3"/>
    </row>
    <row r="66" spans="1:16" x14ac:dyDescent="0.35">
      <c r="A66" s="3"/>
      <c r="B66" s="3"/>
      <c r="C66" s="3"/>
      <c r="D66" s="3"/>
      <c r="E66" s="3"/>
      <c r="F66" s="3"/>
      <c r="G66" s="3"/>
      <c r="H66" s="3"/>
      <c r="I66" s="3"/>
      <c r="J66" s="3"/>
      <c r="K66" s="3"/>
      <c r="L66" s="3"/>
      <c r="M66" s="3"/>
      <c r="N66" s="9"/>
      <c r="O66" s="3"/>
      <c r="P66" s="3"/>
    </row>
    <row r="67" spans="1:16" x14ac:dyDescent="0.35">
      <c r="A67" s="3"/>
      <c r="B67" s="3"/>
      <c r="C67" s="3"/>
      <c r="D67" s="3"/>
      <c r="E67" s="3"/>
      <c r="F67" s="3"/>
      <c r="G67" s="3"/>
      <c r="H67" s="3"/>
      <c r="I67" s="3"/>
      <c r="J67" s="3"/>
      <c r="K67" s="3"/>
      <c r="L67" s="3"/>
      <c r="M67" s="3"/>
      <c r="N67" s="9"/>
      <c r="O67" s="3"/>
      <c r="P67" s="3"/>
    </row>
    <row r="68" spans="1:16" x14ac:dyDescent="0.35">
      <c r="A68" s="3"/>
      <c r="B68" s="3"/>
      <c r="C68" s="3"/>
      <c r="D68" s="3"/>
      <c r="E68" s="3"/>
      <c r="F68" s="3"/>
      <c r="G68" s="3"/>
      <c r="H68" s="3"/>
      <c r="I68" s="3"/>
      <c r="J68" s="3"/>
      <c r="K68" s="3"/>
      <c r="L68" s="3"/>
      <c r="M68" s="3"/>
      <c r="N68" s="9"/>
      <c r="O68" s="3"/>
      <c r="P68" s="3"/>
    </row>
    <row r="69" spans="1:16" x14ac:dyDescent="0.35">
      <c r="A69" s="3"/>
      <c r="B69" s="3"/>
      <c r="C69" s="3"/>
      <c r="D69" s="3"/>
      <c r="E69" s="3"/>
      <c r="F69" s="3"/>
      <c r="G69" s="3"/>
      <c r="H69" s="3"/>
      <c r="I69" s="3"/>
      <c r="J69" s="3"/>
      <c r="K69" s="3"/>
      <c r="L69" s="3"/>
      <c r="M69" s="3"/>
      <c r="N69" s="9"/>
      <c r="O69" s="3"/>
      <c r="P69" s="3"/>
    </row>
    <row r="70" spans="1:16" x14ac:dyDescent="0.35">
      <c r="A70" s="3"/>
      <c r="B70" s="3"/>
      <c r="C70" s="3"/>
      <c r="D70" s="3"/>
      <c r="E70" s="3"/>
      <c r="F70" s="3"/>
      <c r="G70" s="3"/>
      <c r="H70" s="3"/>
      <c r="I70" s="3"/>
      <c r="J70" s="3"/>
      <c r="K70" s="3"/>
      <c r="L70" s="3"/>
      <c r="M70" s="3"/>
      <c r="N70" s="9"/>
      <c r="O70" s="3"/>
      <c r="P70" s="3"/>
    </row>
    <row r="71" spans="1:16" x14ac:dyDescent="0.35">
      <c r="A71" s="3"/>
      <c r="B71" s="3"/>
      <c r="C71" s="3"/>
      <c r="D71" s="3"/>
      <c r="E71" s="3"/>
      <c r="F71" s="3"/>
      <c r="G71" s="3"/>
      <c r="H71" s="3"/>
      <c r="I71" s="3"/>
      <c r="J71" s="3"/>
      <c r="K71" s="3"/>
      <c r="L71" s="3"/>
      <c r="M71" s="3"/>
      <c r="N71" s="9"/>
      <c r="O71" s="3"/>
      <c r="P71" s="3"/>
    </row>
    <row r="72" spans="1:16" x14ac:dyDescent="0.35">
      <c r="A72" s="3"/>
      <c r="B72" s="3"/>
      <c r="C72" s="3"/>
      <c r="D72" s="3"/>
      <c r="E72" s="3"/>
      <c r="F72" s="3"/>
      <c r="G72" s="3"/>
      <c r="H72" s="3"/>
      <c r="I72" s="3"/>
      <c r="J72" s="3"/>
      <c r="K72" s="3"/>
      <c r="L72" s="3"/>
      <c r="M72" s="3"/>
      <c r="N72" s="9"/>
      <c r="O72" s="3"/>
      <c r="P72" s="3"/>
    </row>
    <row r="73" spans="1:16" x14ac:dyDescent="0.35">
      <c r="A73" s="3"/>
      <c r="B73" s="3"/>
      <c r="C73" s="3"/>
      <c r="D73" s="3"/>
      <c r="E73" s="3"/>
      <c r="F73" s="3"/>
      <c r="G73" s="3"/>
      <c r="H73" s="3"/>
      <c r="I73" s="3"/>
      <c r="J73" s="3"/>
      <c r="K73" s="3"/>
      <c r="L73" s="3"/>
      <c r="M73" s="3"/>
      <c r="N73" s="9"/>
      <c r="O73" s="3"/>
      <c r="P73" s="3"/>
    </row>
    <row r="74" spans="1:16" x14ac:dyDescent="0.35">
      <c r="A74" s="3"/>
      <c r="B74" s="3"/>
      <c r="C74" s="3"/>
      <c r="D74" s="3"/>
      <c r="E74" s="3"/>
      <c r="F74" s="3"/>
      <c r="G74" s="3"/>
      <c r="H74" s="3"/>
      <c r="I74" s="3"/>
      <c r="J74" s="3"/>
      <c r="K74" s="3"/>
      <c r="L74" s="3"/>
      <c r="M74" s="3"/>
      <c r="N74" s="9"/>
      <c r="O74" s="3"/>
      <c r="P74" s="3"/>
    </row>
    <row r="75" spans="1:16" x14ac:dyDescent="0.35">
      <c r="A75" s="3"/>
      <c r="B75" s="3"/>
      <c r="C75" s="3"/>
      <c r="D75" s="3"/>
      <c r="E75" s="3"/>
      <c r="F75" s="3"/>
      <c r="G75" s="3"/>
      <c r="H75" s="3"/>
      <c r="I75" s="3"/>
      <c r="J75" s="3"/>
      <c r="K75" s="3"/>
      <c r="L75" s="3"/>
      <c r="M75" s="3"/>
      <c r="N75" s="9"/>
      <c r="O75" s="3"/>
      <c r="P75" s="3"/>
    </row>
    <row r="76" spans="1:16" x14ac:dyDescent="0.35">
      <c r="A76" s="3"/>
      <c r="B76" s="3"/>
      <c r="C76" s="3"/>
      <c r="D76" s="3"/>
      <c r="E76" s="3"/>
      <c r="F76" s="3"/>
      <c r="G76" s="3"/>
      <c r="H76" s="3"/>
      <c r="I76" s="3"/>
      <c r="J76" s="3"/>
      <c r="K76" s="3"/>
      <c r="L76" s="3"/>
      <c r="M76" s="3"/>
      <c r="N76" s="9"/>
      <c r="O76" s="3"/>
      <c r="P76" s="3"/>
    </row>
    <row r="77" spans="1:16" x14ac:dyDescent="0.35">
      <c r="A77" s="3"/>
      <c r="B77" s="3"/>
      <c r="C77" s="3"/>
      <c r="D77" s="3"/>
      <c r="E77" s="3"/>
      <c r="F77" s="3"/>
      <c r="G77" s="3"/>
      <c r="H77" s="3"/>
      <c r="I77" s="3"/>
      <c r="J77" s="3"/>
      <c r="K77" s="3"/>
      <c r="L77" s="3"/>
      <c r="M77" s="3"/>
      <c r="N77" s="9"/>
      <c r="O77" s="3"/>
      <c r="P77" s="3"/>
    </row>
    <row r="78" spans="1:16" x14ac:dyDescent="0.35">
      <c r="A78" s="3"/>
      <c r="B78" s="3"/>
      <c r="C78" s="3"/>
      <c r="D78" s="3"/>
      <c r="E78" s="3"/>
      <c r="F78" s="3"/>
      <c r="G78" s="3"/>
      <c r="H78" s="3"/>
      <c r="I78" s="3"/>
      <c r="J78" s="3"/>
      <c r="K78" s="3"/>
      <c r="L78" s="3"/>
      <c r="M78" s="3"/>
      <c r="N78" s="9"/>
      <c r="O78" s="3"/>
      <c r="P78" s="3"/>
    </row>
    <row r="79" spans="1:16" x14ac:dyDescent="0.35">
      <c r="A79" s="3"/>
      <c r="B79" s="3"/>
      <c r="C79" s="3"/>
      <c r="D79" s="3"/>
      <c r="E79" s="3"/>
      <c r="F79" s="3"/>
      <c r="G79" s="3"/>
      <c r="H79" s="3"/>
      <c r="I79" s="3"/>
      <c r="J79" s="3"/>
      <c r="K79" s="3"/>
      <c r="L79" s="3"/>
      <c r="M79" s="3"/>
      <c r="N79" s="9"/>
      <c r="O79" s="3"/>
      <c r="P79" s="3"/>
    </row>
    <row r="80" spans="1:16" x14ac:dyDescent="0.35">
      <c r="A80" s="3"/>
      <c r="B80" s="3"/>
      <c r="C80" s="3"/>
      <c r="D80" s="3"/>
      <c r="E80" s="3"/>
      <c r="F80" s="3"/>
      <c r="G80" s="3"/>
      <c r="H80" s="3"/>
      <c r="I80" s="3"/>
      <c r="J80" s="3"/>
      <c r="K80" s="3"/>
      <c r="L80" s="3"/>
      <c r="M80" s="3"/>
      <c r="N80" s="9"/>
      <c r="O80" s="3"/>
      <c r="P80" s="3"/>
    </row>
    <row r="81" spans="1:16" x14ac:dyDescent="0.35">
      <c r="A81" s="3"/>
      <c r="B81" s="3"/>
      <c r="C81" s="3"/>
      <c r="D81" s="3"/>
      <c r="E81" s="3"/>
      <c r="F81" s="3"/>
      <c r="G81" s="3"/>
      <c r="H81" s="3"/>
      <c r="I81" s="3"/>
      <c r="J81" s="3"/>
      <c r="K81" s="3"/>
      <c r="L81" s="3"/>
      <c r="M81" s="3"/>
      <c r="N81" s="9"/>
      <c r="O81" s="3"/>
      <c r="P81" s="3"/>
    </row>
    <row r="82" spans="1:16" x14ac:dyDescent="0.35">
      <c r="A82" s="3"/>
      <c r="B82" s="3"/>
      <c r="C82" s="3"/>
      <c r="D82" s="3"/>
      <c r="E82" s="3"/>
      <c r="F82" s="3"/>
      <c r="G82" s="3"/>
      <c r="H82" s="3"/>
      <c r="I82" s="3"/>
      <c r="J82" s="3"/>
      <c r="K82" s="3"/>
      <c r="L82" s="3"/>
      <c r="M82" s="3"/>
      <c r="N82" s="9"/>
      <c r="O82" s="3"/>
      <c r="P82" s="3"/>
    </row>
    <row r="83" spans="1:16" x14ac:dyDescent="0.35">
      <c r="A83" s="3"/>
      <c r="B83" s="3"/>
      <c r="C83" s="3"/>
      <c r="D83" s="3"/>
      <c r="E83" s="3"/>
      <c r="F83" s="3"/>
      <c r="G83" s="3"/>
      <c r="H83" s="3"/>
      <c r="I83" s="3"/>
      <c r="J83" s="3"/>
      <c r="K83" s="3"/>
      <c r="L83" s="3"/>
      <c r="M83" s="3"/>
      <c r="N83" s="9"/>
      <c r="O83" s="3"/>
      <c r="P83" s="3"/>
    </row>
    <row r="84" spans="1:16" x14ac:dyDescent="0.35">
      <c r="A84" s="3"/>
      <c r="B84" s="3"/>
      <c r="C84" s="3"/>
      <c r="D84" s="3"/>
      <c r="E84" s="3"/>
      <c r="F84" s="3"/>
      <c r="G84" s="3"/>
      <c r="H84" s="3"/>
      <c r="I84" s="3"/>
      <c r="J84" s="3"/>
      <c r="K84" s="3"/>
      <c r="L84" s="3"/>
      <c r="M84" s="3"/>
      <c r="N84" s="9"/>
      <c r="O84" s="3"/>
      <c r="P84" s="3"/>
    </row>
    <row r="85" spans="1:16" x14ac:dyDescent="0.35">
      <c r="A85" s="3"/>
      <c r="B85" s="3"/>
      <c r="C85" s="3"/>
      <c r="D85" s="3"/>
      <c r="E85" s="3"/>
      <c r="F85" s="3"/>
      <c r="G85" s="3"/>
      <c r="H85" s="3"/>
      <c r="I85" s="3"/>
      <c r="J85" s="3"/>
      <c r="K85" s="3"/>
      <c r="L85" s="3"/>
      <c r="M85" s="3"/>
      <c r="N85" s="9"/>
      <c r="O85" s="3"/>
      <c r="P85" s="3"/>
    </row>
    <row r="86" spans="1:16" x14ac:dyDescent="0.35">
      <c r="A86" s="3"/>
      <c r="B86" s="3"/>
      <c r="C86" s="3"/>
      <c r="D86" s="3"/>
      <c r="E86" s="3"/>
      <c r="F86" s="3"/>
      <c r="G86" s="3"/>
      <c r="H86" s="3"/>
      <c r="I86" s="3"/>
      <c r="J86" s="3"/>
      <c r="K86" s="3"/>
      <c r="L86" s="3"/>
      <c r="M86" s="3"/>
      <c r="N86" s="9"/>
      <c r="O86" s="3"/>
      <c r="P86" s="3"/>
    </row>
    <row r="87" spans="1:16" x14ac:dyDescent="0.35">
      <c r="A87" s="3"/>
      <c r="B87" s="3"/>
      <c r="C87" s="3"/>
      <c r="D87" s="3"/>
      <c r="E87" s="3"/>
      <c r="F87" s="3"/>
      <c r="G87" s="3"/>
      <c r="H87" s="3"/>
      <c r="I87" s="3"/>
      <c r="J87" s="3"/>
      <c r="K87" s="3"/>
      <c r="L87" s="3"/>
      <c r="M87" s="3"/>
      <c r="N87" s="9"/>
      <c r="O87" s="3"/>
      <c r="P87" s="3"/>
    </row>
    <row r="88" spans="1:16" x14ac:dyDescent="0.35">
      <c r="A88" s="3"/>
      <c r="B88" s="3"/>
      <c r="C88" s="3"/>
      <c r="D88" s="3"/>
      <c r="E88" s="3"/>
      <c r="F88" s="3"/>
      <c r="G88" s="3"/>
      <c r="H88" s="3"/>
      <c r="I88" s="3"/>
      <c r="J88" s="3"/>
      <c r="K88" s="3"/>
      <c r="L88" s="3"/>
      <c r="M88" s="3"/>
      <c r="N88" s="9"/>
      <c r="O88" s="3"/>
      <c r="P88" s="3"/>
    </row>
    <row r="89" spans="1:16" x14ac:dyDescent="0.35">
      <c r="A89" s="3"/>
      <c r="B89" s="3"/>
      <c r="C89" s="3"/>
      <c r="D89" s="3"/>
      <c r="E89" s="3"/>
      <c r="F89" s="3"/>
      <c r="G89" s="3"/>
      <c r="H89" s="3"/>
      <c r="I89" s="3"/>
      <c r="J89" s="3"/>
      <c r="K89" s="3"/>
      <c r="L89" s="3"/>
      <c r="M89" s="3"/>
      <c r="N89" s="9"/>
      <c r="O89" s="3"/>
      <c r="P89" s="3"/>
    </row>
    <row r="90" spans="1:16" x14ac:dyDescent="0.35">
      <c r="A90" s="3"/>
      <c r="B90" s="3"/>
      <c r="C90" s="3"/>
      <c r="D90" s="3"/>
      <c r="E90" s="3"/>
      <c r="F90" s="3"/>
      <c r="G90" s="3"/>
      <c r="H90" s="3"/>
      <c r="I90" s="3"/>
      <c r="J90" s="3"/>
      <c r="K90" s="3"/>
      <c r="L90" s="3"/>
      <c r="M90" s="3"/>
      <c r="N90" s="9"/>
      <c r="O90" s="3"/>
      <c r="P90" s="3"/>
    </row>
    <row r="91" spans="1:16" x14ac:dyDescent="0.35">
      <c r="A91" s="3"/>
      <c r="B91" s="3"/>
      <c r="C91" s="3"/>
      <c r="D91" s="3"/>
      <c r="E91" s="3"/>
      <c r="F91" s="3"/>
      <c r="G91" s="3"/>
      <c r="H91" s="3"/>
      <c r="I91" s="3"/>
      <c r="J91" s="3"/>
      <c r="K91" s="3"/>
      <c r="L91" s="3"/>
      <c r="M91" s="3"/>
      <c r="N91" s="9"/>
      <c r="O91" s="3"/>
      <c r="P91" s="3"/>
    </row>
    <row r="92" spans="1:16" x14ac:dyDescent="0.35">
      <c r="A92" s="3"/>
      <c r="B92" s="3"/>
      <c r="C92" s="3"/>
      <c r="D92" s="3"/>
      <c r="E92" s="3"/>
      <c r="F92" s="3"/>
      <c r="G92" s="3"/>
      <c r="H92" s="3"/>
      <c r="I92" s="3"/>
      <c r="J92" s="3"/>
      <c r="K92" s="3"/>
      <c r="L92" s="3"/>
      <c r="M92" s="3"/>
      <c r="N92" s="9"/>
      <c r="O92" s="3"/>
      <c r="P92" s="3"/>
    </row>
    <row r="93" spans="1:16" x14ac:dyDescent="0.35">
      <c r="A93" s="3"/>
      <c r="B93" s="3"/>
      <c r="C93" s="3"/>
      <c r="D93" s="3"/>
      <c r="E93" s="3"/>
      <c r="F93" s="3"/>
      <c r="G93" s="3"/>
      <c r="H93" s="3"/>
      <c r="I93" s="3"/>
      <c r="J93" s="3"/>
      <c r="K93" s="3"/>
      <c r="L93" s="3"/>
      <c r="M93" s="3"/>
      <c r="N93" s="9"/>
      <c r="O93" s="3"/>
      <c r="P93" s="3"/>
    </row>
    <row r="94" spans="1:16" x14ac:dyDescent="0.35">
      <c r="A94" s="3"/>
      <c r="B94" s="3"/>
      <c r="C94" s="3"/>
      <c r="D94" s="3"/>
      <c r="E94" s="3"/>
      <c r="F94" s="3"/>
      <c r="G94" s="3"/>
      <c r="H94" s="3"/>
      <c r="I94" s="3"/>
      <c r="J94" s="3"/>
      <c r="K94" s="3"/>
      <c r="L94" s="3"/>
      <c r="M94" s="3"/>
      <c r="N94" s="9"/>
      <c r="O94" s="3"/>
      <c r="P94" s="3"/>
    </row>
    <row r="95" spans="1:16" x14ac:dyDescent="0.35">
      <c r="A95" s="3"/>
      <c r="B95" s="3"/>
      <c r="C95" s="3"/>
      <c r="D95" s="3"/>
      <c r="E95" s="3"/>
      <c r="F95" s="3"/>
      <c r="G95" s="3"/>
      <c r="H95" s="3"/>
      <c r="I95" s="3"/>
      <c r="J95" s="3"/>
      <c r="K95" s="3"/>
      <c r="L95" s="3"/>
      <c r="M95" s="3"/>
      <c r="N95" s="9"/>
      <c r="O95" s="3"/>
      <c r="P95" s="3"/>
    </row>
    <row r="96" spans="1:16" x14ac:dyDescent="0.35">
      <c r="A96" s="3"/>
      <c r="B96" s="3"/>
      <c r="C96" s="3"/>
      <c r="D96" s="3"/>
      <c r="E96" s="3"/>
      <c r="F96" s="3"/>
      <c r="G96" s="3"/>
      <c r="H96" s="3"/>
      <c r="I96" s="3"/>
      <c r="J96" s="3"/>
      <c r="K96" s="3"/>
      <c r="L96" s="3"/>
      <c r="M96" s="3"/>
      <c r="N96" s="9"/>
      <c r="O96" s="3"/>
      <c r="P96" s="3"/>
    </row>
    <row r="97" spans="1:16" x14ac:dyDescent="0.35">
      <c r="A97" s="3"/>
      <c r="B97" s="3"/>
      <c r="C97" s="3"/>
      <c r="D97" s="3"/>
      <c r="E97" s="3"/>
      <c r="F97" s="3"/>
      <c r="G97" s="3"/>
      <c r="H97" s="3"/>
      <c r="I97" s="3"/>
      <c r="J97" s="3"/>
      <c r="K97" s="3"/>
      <c r="L97" s="3"/>
      <c r="M97" s="3"/>
      <c r="N97" s="9"/>
      <c r="O97" s="3"/>
      <c r="P97" s="3"/>
    </row>
    <row r="98" spans="1:16" x14ac:dyDescent="0.35">
      <c r="A98" s="3"/>
      <c r="B98" s="3"/>
      <c r="C98" s="3"/>
      <c r="D98" s="3"/>
      <c r="E98" s="3"/>
      <c r="F98" s="3"/>
      <c r="G98" s="3"/>
      <c r="H98" s="3"/>
      <c r="I98" s="3"/>
      <c r="J98" s="3"/>
      <c r="K98" s="3"/>
      <c r="L98" s="3"/>
      <c r="M98" s="3"/>
      <c r="N98" s="9"/>
      <c r="O98" s="3"/>
      <c r="P98" s="3"/>
    </row>
    <row r="99" spans="1:16" x14ac:dyDescent="0.35">
      <c r="A99" s="3"/>
      <c r="B99" s="3"/>
      <c r="C99" s="3"/>
      <c r="D99" s="3"/>
      <c r="E99" s="3"/>
      <c r="F99" s="3"/>
      <c r="G99" s="3"/>
      <c r="H99" s="3"/>
      <c r="I99" s="3"/>
      <c r="J99" s="3"/>
      <c r="K99" s="3"/>
      <c r="L99" s="3"/>
      <c r="M99" s="3"/>
      <c r="N99" s="9"/>
      <c r="O99" s="3"/>
      <c r="P99" s="3"/>
    </row>
    <row r="100" spans="1:16" x14ac:dyDescent="0.35">
      <c r="A100" s="3"/>
      <c r="B100" s="3"/>
      <c r="C100" s="3"/>
      <c r="D100" s="3"/>
      <c r="E100" s="3"/>
      <c r="F100" s="3"/>
      <c r="G100" s="3"/>
      <c r="H100" s="3"/>
      <c r="I100" s="3"/>
      <c r="J100" s="3"/>
      <c r="K100" s="3"/>
      <c r="L100" s="3"/>
      <c r="M100" s="3"/>
      <c r="N100" s="9"/>
      <c r="O100" s="3"/>
      <c r="P100" s="3"/>
    </row>
    <row r="101" spans="1:16" x14ac:dyDescent="0.35">
      <c r="A101" s="3"/>
      <c r="B101" s="3"/>
      <c r="C101" s="3"/>
      <c r="D101" s="3"/>
      <c r="E101" s="3"/>
      <c r="F101" s="3"/>
      <c r="G101" s="3"/>
      <c r="H101" s="3"/>
      <c r="I101" s="3"/>
      <c r="J101" s="3"/>
      <c r="K101" s="3"/>
      <c r="L101" s="3"/>
      <c r="M101" s="3"/>
      <c r="N101" s="9"/>
      <c r="O101" s="3"/>
      <c r="P101" s="3"/>
    </row>
  </sheetData>
  <autoFilter ref="A1:P101" xr:uid="{00000000-0009-0000-0000-000003000000}"/>
  <dataValidations count="4">
    <dataValidation type="list" allowBlank="1" sqref="C2:C101" xr:uid="{00000000-0002-0000-0300-000000000000}">
      <formula1>"Header &amp; Navigation,Product Catalogue,Category Filter,Product Detail,Enquiry Links,Contact &amp; Footer,Responsive &amp; Compatibility,URL Handling &amp; Usability"</formula1>
      <formula2>0</formula2>
    </dataValidation>
    <dataValidation type="list" allowBlank="1" sqref="J2:J101" xr:uid="{00000000-0002-0000-0300-000001000000}">
      <formula1>"Critical,High,Medium,Low"</formula1>
      <formula2>0</formula2>
    </dataValidation>
    <dataValidation type="list" allowBlank="1" sqref="K2:K101" xr:uid="{00000000-0002-0000-0300-000002000000}">
      <formula1>"High,Medium,Low"</formula1>
      <formula2>0</formula2>
    </dataValidation>
    <dataValidation type="list" allowBlank="1" sqref="L2:L101" xr:uid="{00000000-0002-0000-0300-000003000000}">
      <formula1>"New,Open,In Progress,Fixed,Retest,Closed,Reopened,Rejected"</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7"/>
  <sheetViews>
    <sheetView zoomScaleNormal="100" workbookViewId="0">
      <pane ySplit="1" topLeftCell="A2" activePane="bottomLeft" state="frozen"/>
      <selection pane="bottomLeft"/>
    </sheetView>
  </sheetViews>
  <sheetFormatPr defaultColWidth="8.6328125" defaultRowHeight="14.5" x14ac:dyDescent="0.35"/>
  <cols>
    <col min="1" max="1" width="14" customWidth="1"/>
    <col min="2" max="2" width="60" customWidth="1"/>
    <col min="3" max="3" width="24" customWidth="1"/>
    <col min="4" max="4" width="12" customWidth="1"/>
    <col min="5" max="5" width="13" customWidth="1"/>
    <col min="6" max="6" width="15" customWidth="1"/>
    <col min="7" max="7" width="12" customWidth="1"/>
  </cols>
  <sheetData>
    <row r="1" spans="1:7" ht="30" customHeight="1" x14ac:dyDescent="0.35">
      <c r="A1" s="1" t="s">
        <v>411</v>
      </c>
      <c r="B1" s="1" t="s">
        <v>412</v>
      </c>
      <c r="C1" s="1" t="s">
        <v>1</v>
      </c>
      <c r="D1" s="1" t="s">
        <v>0</v>
      </c>
      <c r="E1" s="1" t="s">
        <v>125</v>
      </c>
      <c r="F1" s="1" t="s">
        <v>413</v>
      </c>
      <c r="G1" s="1" t="s">
        <v>401</v>
      </c>
    </row>
    <row r="2" spans="1:7" ht="25" x14ac:dyDescent="0.35">
      <c r="A2" s="2" t="s">
        <v>414</v>
      </c>
      <c r="B2" s="3" t="s">
        <v>415</v>
      </c>
      <c r="C2" s="3" t="s">
        <v>7</v>
      </c>
      <c r="D2" s="2" t="s">
        <v>6</v>
      </c>
      <c r="E2" s="2" t="s">
        <v>133</v>
      </c>
      <c r="F2" s="4" t="str">
        <f>IFERROR(IF(INDEX('Test Execution'!$H$2:$H$55,MATCH($E2,'Test Execution'!$A$2:$A$55,0))="","Not Executed",INDEX('Test Execution'!$H$2:$H$55,MATCH($E2,'Test Execution'!$A$2:$A$55,0))),"Not Executed")</f>
        <v>Not Executed</v>
      </c>
      <c r="G2" s="4" t="str">
        <f>IFERROR(IF(INDEX('Test Execution'!$I$2:$I$55,MATCH($E2,'Test Execution'!$A$2:$A$55,0))="","",INDEX('Test Execution'!$I$2:$I$55,MATCH($E2,'Test Execution'!$A$2:$A$55,0))),"")</f>
        <v/>
      </c>
    </row>
    <row r="3" spans="1:7" ht="25" x14ac:dyDescent="0.35">
      <c r="A3" s="2" t="s">
        <v>414</v>
      </c>
      <c r="B3" s="3" t="s">
        <v>415</v>
      </c>
      <c r="C3" s="3" t="s">
        <v>7</v>
      </c>
      <c r="D3" s="2" t="s">
        <v>6</v>
      </c>
      <c r="E3" s="2" t="s">
        <v>139</v>
      </c>
      <c r="F3" s="4" t="str">
        <f>IFERROR(IF(INDEX('Test Execution'!$H$2:$H$55,MATCH($E3,'Test Execution'!$A$2:$A$55,0))="","Not Executed",INDEX('Test Execution'!$H$2:$H$55,MATCH($E3,'Test Execution'!$A$2:$A$55,0))),"Not Executed")</f>
        <v>Not Executed</v>
      </c>
      <c r="G3" s="4" t="str">
        <f>IFERROR(IF(INDEX('Test Execution'!$I$2:$I$55,MATCH($E3,'Test Execution'!$A$2:$A$55,0))="","",INDEX('Test Execution'!$I$2:$I$55,MATCH($E3,'Test Execution'!$A$2:$A$55,0))),"")</f>
        <v/>
      </c>
    </row>
    <row r="4" spans="1:7" x14ac:dyDescent="0.35">
      <c r="A4" s="2" t="s">
        <v>416</v>
      </c>
      <c r="B4" s="3" t="s">
        <v>417</v>
      </c>
      <c r="C4" s="3" t="s">
        <v>7</v>
      </c>
      <c r="D4" s="2" t="s">
        <v>12</v>
      </c>
      <c r="E4" s="2" t="s">
        <v>145</v>
      </c>
      <c r="F4" s="4" t="str">
        <f>IFERROR(IF(INDEX('Test Execution'!$H$2:$H$55,MATCH($E4,'Test Execution'!$A$2:$A$55,0))="","Not Executed",INDEX('Test Execution'!$H$2:$H$55,MATCH($E4,'Test Execution'!$A$2:$A$55,0))),"Not Executed")</f>
        <v>Not Executed</v>
      </c>
      <c r="G4" s="4" t="str">
        <f>IFERROR(IF(INDEX('Test Execution'!$I$2:$I$55,MATCH($E4,'Test Execution'!$A$2:$A$55,0))="","",INDEX('Test Execution'!$I$2:$I$55,MATCH($E4,'Test Execution'!$A$2:$A$55,0))),"")</f>
        <v/>
      </c>
    </row>
    <row r="5" spans="1:7" x14ac:dyDescent="0.35">
      <c r="A5" s="2" t="s">
        <v>418</v>
      </c>
      <c r="B5" s="3" t="s">
        <v>419</v>
      </c>
      <c r="C5" s="3" t="s">
        <v>7</v>
      </c>
      <c r="D5" s="2" t="s">
        <v>17</v>
      </c>
      <c r="E5" s="2" t="s">
        <v>150</v>
      </c>
      <c r="F5" s="4" t="str">
        <f>IFERROR(IF(INDEX('Test Execution'!$H$2:$H$55,MATCH($E5,'Test Execution'!$A$2:$A$55,0))="","Not Executed",INDEX('Test Execution'!$H$2:$H$55,MATCH($E5,'Test Execution'!$A$2:$A$55,0))),"Not Executed")</f>
        <v>Not Executed</v>
      </c>
      <c r="G5" s="4" t="str">
        <f>IFERROR(IF(INDEX('Test Execution'!$I$2:$I$55,MATCH($E5,'Test Execution'!$A$2:$A$55,0))="","",INDEX('Test Execution'!$I$2:$I$55,MATCH($E5,'Test Execution'!$A$2:$A$55,0))),"")</f>
        <v/>
      </c>
    </row>
    <row r="6" spans="1:7" x14ac:dyDescent="0.35">
      <c r="A6" s="2" t="s">
        <v>418</v>
      </c>
      <c r="B6" s="3" t="s">
        <v>419</v>
      </c>
      <c r="C6" s="3" t="s">
        <v>7</v>
      </c>
      <c r="D6" s="2" t="s">
        <v>17</v>
      </c>
      <c r="E6" s="2" t="s">
        <v>156</v>
      </c>
      <c r="F6" s="4" t="str">
        <f>IFERROR(IF(INDEX('Test Execution'!$H$2:$H$55,MATCH($E6,'Test Execution'!$A$2:$A$55,0))="","Not Executed",INDEX('Test Execution'!$H$2:$H$55,MATCH($E6,'Test Execution'!$A$2:$A$55,0))),"Not Executed")</f>
        <v>Not Executed</v>
      </c>
      <c r="G6" s="4" t="str">
        <f>IFERROR(IF(INDEX('Test Execution'!$I$2:$I$55,MATCH($E6,'Test Execution'!$A$2:$A$55,0))="","",INDEX('Test Execution'!$I$2:$I$55,MATCH($E6,'Test Execution'!$A$2:$A$55,0))),"")</f>
        <v/>
      </c>
    </row>
    <row r="7" spans="1:7" x14ac:dyDescent="0.35">
      <c r="A7" s="2" t="s">
        <v>418</v>
      </c>
      <c r="B7" s="3" t="s">
        <v>419</v>
      </c>
      <c r="C7" s="3" t="s">
        <v>7</v>
      </c>
      <c r="D7" s="2" t="s">
        <v>17</v>
      </c>
      <c r="E7" s="2" t="s">
        <v>162</v>
      </c>
      <c r="F7" s="4" t="str">
        <f>IFERROR(IF(INDEX('Test Execution'!$H$2:$H$55,MATCH($E7,'Test Execution'!$A$2:$A$55,0))="","Not Executed",INDEX('Test Execution'!$H$2:$H$55,MATCH($E7,'Test Execution'!$A$2:$A$55,0))),"Not Executed")</f>
        <v>Not Executed</v>
      </c>
      <c r="G7" s="4" t="str">
        <f>IFERROR(IF(INDEX('Test Execution'!$I$2:$I$55,MATCH($E7,'Test Execution'!$A$2:$A$55,0))="","",INDEX('Test Execution'!$I$2:$I$55,MATCH($E7,'Test Execution'!$A$2:$A$55,0))),"")</f>
        <v/>
      </c>
    </row>
    <row r="8" spans="1:7" x14ac:dyDescent="0.35">
      <c r="A8" s="2" t="s">
        <v>420</v>
      </c>
      <c r="B8" s="3" t="s">
        <v>421</v>
      </c>
      <c r="C8" s="3" t="s">
        <v>7</v>
      </c>
      <c r="D8" s="2" t="s">
        <v>21</v>
      </c>
      <c r="E8" s="2" t="s">
        <v>167</v>
      </c>
      <c r="F8" s="4" t="str">
        <f>IFERROR(IF(INDEX('Test Execution'!$H$2:$H$55,MATCH($E8,'Test Execution'!$A$2:$A$55,0))="","Not Executed",INDEX('Test Execution'!$H$2:$H$55,MATCH($E8,'Test Execution'!$A$2:$A$55,0))),"Not Executed")</f>
        <v>Not Executed</v>
      </c>
      <c r="G8" s="4" t="str">
        <f>IFERROR(IF(INDEX('Test Execution'!$I$2:$I$55,MATCH($E8,'Test Execution'!$A$2:$A$55,0))="","",INDEX('Test Execution'!$I$2:$I$55,MATCH($E8,'Test Execution'!$A$2:$A$55,0))),"")</f>
        <v/>
      </c>
    </row>
    <row r="9" spans="1:7" x14ac:dyDescent="0.35">
      <c r="A9" s="2" t="s">
        <v>422</v>
      </c>
      <c r="B9" s="3" t="s">
        <v>423</v>
      </c>
      <c r="C9" s="3" t="s">
        <v>7</v>
      </c>
      <c r="D9" s="2" t="s">
        <v>25</v>
      </c>
      <c r="E9" s="2" t="s">
        <v>173</v>
      </c>
      <c r="F9" s="4" t="str">
        <f>IFERROR(IF(INDEX('Test Execution'!$H$2:$H$55,MATCH($E9,'Test Execution'!$A$2:$A$55,0))="","Not Executed",INDEX('Test Execution'!$H$2:$H$55,MATCH($E9,'Test Execution'!$A$2:$A$55,0))),"Not Executed")</f>
        <v>Not Executed</v>
      </c>
      <c r="G9" s="4" t="str">
        <f>IFERROR(IF(INDEX('Test Execution'!$I$2:$I$55,MATCH($E9,'Test Execution'!$A$2:$A$55,0))="","",INDEX('Test Execution'!$I$2:$I$55,MATCH($E9,'Test Execution'!$A$2:$A$55,0))),"")</f>
        <v/>
      </c>
    </row>
    <row r="10" spans="1:7" x14ac:dyDescent="0.35">
      <c r="A10" s="2" t="s">
        <v>424</v>
      </c>
      <c r="B10" s="3" t="s">
        <v>425</v>
      </c>
      <c r="C10" s="3" t="s">
        <v>29</v>
      </c>
      <c r="D10" s="2" t="s">
        <v>28</v>
      </c>
      <c r="E10" s="2" t="s">
        <v>178</v>
      </c>
      <c r="F10" s="4" t="str">
        <f>IFERROR(IF(INDEX('Test Execution'!$H$2:$H$55,MATCH($E10,'Test Execution'!$A$2:$A$55,0))="","Not Executed",INDEX('Test Execution'!$H$2:$H$55,MATCH($E10,'Test Execution'!$A$2:$A$55,0))),"Not Executed")</f>
        <v>Not Executed</v>
      </c>
      <c r="G10" s="4" t="str">
        <f>IFERROR(IF(INDEX('Test Execution'!$I$2:$I$55,MATCH($E10,'Test Execution'!$A$2:$A$55,0))="","",INDEX('Test Execution'!$I$2:$I$55,MATCH($E10,'Test Execution'!$A$2:$A$55,0))),"")</f>
        <v/>
      </c>
    </row>
    <row r="11" spans="1:7" x14ac:dyDescent="0.35">
      <c r="A11" s="2" t="s">
        <v>426</v>
      </c>
      <c r="B11" s="3" t="s">
        <v>427</v>
      </c>
      <c r="C11" s="3" t="s">
        <v>29</v>
      </c>
      <c r="D11" s="2" t="s">
        <v>32</v>
      </c>
      <c r="E11" s="2" t="s">
        <v>182</v>
      </c>
      <c r="F11" s="4" t="str">
        <f>IFERROR(IF(INDEX('Test Execution'!$H$2:$H$55,MATCH($E11,'Test Execution'!$A$2:$A$55,0))="","Not Executed",INDEX('Test Execution'!$H$2:$H$55,MATCH($E11,'Test Execution'!$A$2:$A$55,0))),"Not Executed")</f>
        <v>Not Executed</v>
      </c>
      <c r="G11" s="4" t="str">
        <f>IFERROR(IF(INDEX('Test Execution'!$I$2:$I$55,MATCH($E11,'Test Execution'!$A$2:$A$55,0))="","",INDEX('Test Execution'!$I$2:$I$55,MATCH($E11,'Test Execution'!$A$2:$A$55,0))),"")</f>
        <v/>
      </c>
    </row>
    <row r="12" spans="1:7" x14ac:dyDescent="0.35">
      <c r="A12" s="2" t="s">
        <v>426</v>
      </c>
      <c r="B12" s="3" t="s">
        <v>427</v>
      </c>
      <c r="C12" s="3" t="s">
        <v>29</v>
      </c>
      <c r="D12" s="2" t="s">
        <v>32</v>
      </c>
      <c r="E12" s="2" t="s">
        <v>187</v>
      </c>
      <c r="F12" s="4" t="str">
        <f>IFERROR(IF(INDEX('Test Execution'!$H$2:$H$55,MATCH($E12,'Test Execution'!$A$2:$A$55,0))="","Not Executed",INDEX('Test Execution'!$H$2:$H$55,MATCH($E12,'Test Execution'!$A$2:$A$55,0))),"Not Executed")</f>
        <v>Not Executed</v>
      </c>
      <c r="G12" s="4" t="str">
        <f>IFERROR(IF(INDEX('Test Execution'!$I$2:$I$55,MATCH($E12,'Test Execution'!$A$2:$A$55,0))="","",INDEX('Test Execution'!$I$2:$I$55,MATCH($E12,'Test Execution'!$A$2:$A$55,0))),"")</f>
        <v/>
      </c>
    </row>
    <row r="13" spans="1:7" x14ac:dyDescent="0.35">
      <c r="A13" s="2" t="s">
        <v>426</v>
      </c>
      <c r="B13" s="3" t="s">
        <v>427</v>
      </c>
      <c r="C13" s="3" t="s">
        <v>29</v>
      </c>
      <c r="D13" s="2" t="s">
        <v>36</v>
      </c>
      <c r="E13" s="2" t="s">
        <v>192</v>
      </c>
      <c r="F13" s="4" t="str">
        <f>IFERROR(IF(INDEX('Test Execution'!$H$2:$H$55,MATCH($E13,'Test Execution'!$A$2:$A$55,0))="","Not Executed",INDEX('Test Execution'!$H$2:$H$55,MATCH($E13,'Test Execution'!$A$2:$A$55,0))),"Not Executed")</f>
        <v>Not Executed</v>
      </c>
      <c r="G13" s="4" t="str">
        <f>IFERROR(IF(INDEX('Test Execution'!$I$2:$I$55,MATCH($E13,'Test Execution'!$A$2:$A$55,0))="","",INDEX('Test Execution'!$I$2:$I$55,MATCH($E13,'Test Execution'!$A$2:$A$55,0))),"")</f>
        <v/>
      </c>
    </row>
    <row r="14" spans="1:7" x14ac:dyDescent="0.35">
      <c r="A14" s="2" t="s">
        <v>428</v>
      </c>
      <c r="B14" s="3" t="s">
        <v>429</v>
      </c>
      <c r="C14" s="3" t="s">
        <v>29</v>
      </c>
      <c r="D14" s="2" t="s">
        <v>40</v>
      </c>
      <c r="E14" s="2" t="s">
        <v>197</v>
      </c>
      <c r="F14" s="4" t="str">
        <f>IFERROR(IF(INDEX('Test Execution'!$H$2:$H$55,MATCH($E14,'Test Execution'!$A$2:$A$55,0))="","Not Executed",INDEX('Test Execution'!$H$2:$H$55,MATCH($E14,'Test Execution'!$A$2:$A$55,0))),"Not Executed")</f>
        <v>Not Executed</v>
      </c>
      <c r="G14" s="4" t="str">
        <f>IFERROR(IF(INDEX('Test Execution'!$I$2:$I$55,MATCH($E14,'Test Execution'!$A$2:$A$55,0))="","",INDEX('Test Execution'!$I$2:$I$55,MATCH($E14,'Test Execution'!$A$2:$A$55,0))),"")</f>
        <v/>
      </c>
    </row>
    <row r="15" spans="1:7" x14ac:dyDescent="0.35">
      <c r="A15" s="2" t="s">
        <v>428</v>
      </c>
      <c r="B15" s="3" t="s">
        <v>429</v>
      </c>
      <c r="C15" s="3" t="s">
        <v>29</v>
      </c>
      <c r="D15" s="2" t="s">
        <v>44</v>
      </c>
      <c r="E15" s="2" t="s">
        <v>202</v>
      </c>
      <c r="F15" s="4" t="str">
        <f>IFERROR(IF(INDEX('Test Execution'!$H$2:$H$55,MATCH($E15,'Test Execution'!$A$2:$A$55,0))="","Not Executed",INDEX('Test Execution'!$H$2:$H$55,MATCH($E15,'Test Execution'!$A$2:$A$55,0))),"Not Executed")</f>
        <v>Not Executed</v>
      </c>
      <c r="G15" s="4" t="str">
        <f>IFERROR(IF(INDEX('Test Execution'!$I$2:$I$55,MATCH($E15,'Test Execution'!$A$2:$A$55,0))="","",INDEX('Test Execution'!$I$2:$I$55,MATCH($E15,'Test Execution'!$A$2:$A$55,0))),"")</f>
        <v/>
      </c>
    </row>
    <row r="16" spans="1:7" x14ac:dyDescent="0.35">
      <c r="A16" s="2" t="s">
        <v>430</v>
      </c>
      <c r="B16" s="3" t="s">
        <v>431</v>
      </c>
      <c r="C16" s="3" t="s">
        <v>49</v>
      </c>
      <c r="D16" s="2" t="s">
        <v>48</v>
      </c>
      <c r="E16" s="2" t="s">
        <v>207</v>
      </c>
      <c r="F16" s="4" t="str">
        <f>IFERROR(IF(INDEX('Test Execution'!$H$2:$H$55,MATCH($E16,'Test Execution'!$A$2:$A$55,0))="","Not Executed",INDEX('Test Execution'!$H$2:$H$55,MATCH($E16,'Test Execution'!$A$2:$A$55,0))),"Not Executed")</f>
        <v>Not Executed</v>
      </c>
      <c r="G16" s="4" t="str">
        <f>IFERROR(IF(INDEX('Test Execution'!$I$2:$I$55,MATCH($E16,'Test Execution'!$A$2:$A$55,0))="","",INDEX('Test Execution'!$I$2:$I$55,MATCH($E16,'Test Execution'!$A$2:$A$55,0))),"")</f>
        <v/>
      </c>
    </row>
    <row r="17" spans="1:7" x14ac:dyDescent="0.35">
      <c r="A17" s="2" t="s">
        <v>430</v>
      </c>
      <c r="B17" s="3" t="s">
        <v>431</v>
      </c>
      <c r="C17" s="3" t="s">
        <v>49</v>
      </c>
      <c r="D17" s="2" t="s">
        <v>52</v>
      </c>
      <c r="E17" s="2" t="s">
        <v>211</v>
      </c>
      <c r="F17" s="4" t="str">
        <f>IFERROR(IF(INDEX('Test Execution'!$H$2:$H$55,MATCH($E17,'Test Execution'!$A$2:$A$55,0))="","Not Executed",INDEX('Test Execution'!$H$2:$H$55,MATCH($E17,'Test Execution'!$A$2:$A$55,0))),"Not Executed")</f>
        <v>Not Executed</v>
      </c>
      <c r="G17" s="4" t="str">
        <f>IFERROR(IF(INDEX('Test Execution'!$I$2:$I$55,MATCH($E17,'Test Execution'!$A$2:$A$55,0))="","",INDEX('Test Execution'!$I$2:$I$55,MATCH($E17,'Test Execution'!$A$2:$A$55,0))),"")</f>
        <v/>
      </c>
    </row>
    <row r="18" spans="1:7" x14ac:dyDescent="0.35">
      <c r="A18" s="2" t="s">
        <v>430</v>
      </c>
      <c r="B18" s="3" t="s">
        <v>431</v>
      </c>
      <c r="C18" s="3" t="s">
        <v>49</v>
      </c>
      <c r="D18" s="2" t="s">
        <v>52</v>
      </c>
      <c r="E18" s="2" t="s">
        <v>216</v>
      </c>
      <c r="F18" s="4" t="str">
        <f>IFERROR(IF(INDEX('Test Execution'!$H$2:$H$55,MATCH($E18,'Test Execution'!$A$2:$A$55,0))="","Not Executed",INDEX('Test Execution'!$H$2:$H$55,MATCH($E18,'Test Execution'!$A$2:$A$55,0))),"Not Executed")</f>
        <v>Not Executed</v>
      </c>
      <c r="G18" s="4" t="str">
        <f>IFERROR(IF(INDEX('Test Execution'!$I$2:$I$55,MATCH($E18,'Test Execution'!$A$2:$A$55,0))="","",INDEX('Test Execution'!$I$2:$I$55,MATCH($E18,'Test Execution'!$A$2:$A$55,0))),"")</f>
        <v/>
      </c>
    </row>
    <row r="19" spans="1:7" x14ac:dyDescent="0.35">
      <c r="A19" s="2" t="s">
        <v>430</v>
      </c>
      <c r="B19" s="3" t="s">
        <v>431</v>
      </c>
      <c r="C19" s="3" t="s">
        <v>49</v>
      </c>
      <c r="D19" s="2" t="s">
        <v>52</v>
      </c>
      <c r="E19" s="2" t="s">
        <v>221</v>
      </c>
      <c r="F19" s="4" t="str">
        <f>IFERROR(IF(INDEX('Test Execution'!$H$2:$H$55,MATCH($E19,'Test Execution'!$A$2:$A$55,0))="","Not Executed",INDEX('Test Execution'!$H$2:$H$55,MATCH($E19,'Test Execution'!$A$2:$A$55,0))),"Not Executed")</f>
        <v>Not Executed</v>
      </c>
      <c r="G19" s="4" t="str">
        <f>IFERROR(IF(INDEX('Test Execution'!$I$2:$I$55,MATCH($E19,'Test Execution'!$A$2:$A$55,0))="","",INDEX('Test Execution'!$I$2:$I$55,MATCH($E19,'Test Execution'!$A$2:$A$55,0))),"")</f>
        <v/>
      </c>
    </row>
    <row r="20" spans="1:7" x14ac:dyDescent="0.35">
      <c r="A20" s="2" t="s">
        <v>430</v>
      </c>
      <c r="B20" s="3" t="s">
        <v>431</v>
      </c>
      <c r="C20" s="3" t="s">
        <v>49</v>
      </c>
      <c r="D20" s="2" t="s">
        <v>52</v>
      </c>
      <c r="E20" s="2" t="s">
        <v>226</v>
      </c>
      <c r="F20" s="4" t="str">
        <f>IFERROR(IF(INDEX('Test Execution'!$H$2:$H$55,MATCH($E20,'Test Execution'!$A$2:$A$55,0))="","Not Executed",INDEX('Test Execution'!$H$2:$H$55,MATCH($E20,'Test Execution'!$A$2:$A$55,0))),"Not Executed")</f>
        <v>Not Executed</v>
      </c>
      <c r="G20" s="4" t="str">
        <f>IFERROR(IF(INDEX('Test Execution'!$I$2:$I$55,MATCH($E20,'Test Execution'!$A$2:$A$55,0))="","",INDEX('Test Execution'!$I$2:$I$55,MATCH($E20,'Test Execution'!$A$2:$A$55,0))),"")</f>
        <v/>
      </c>
    </row>
    <row r="21" spans="1:7" x14ac:dyDescent="0.35">
      <c r="A21" s="2" t="s">
        <v>430</v>
      </c>
      <c r="B21" s="3" t="s">
        <v>431</v>
      </c>
      <c r="C21" s="3" t="s">
        <v>49</v>
      </c>
      <c r="D21" s="2" t="s">
        <v>52</v>
      </c>
      <c r="E21" s="2" t="s">
        <v>231</v>
      </c>
      <c r="F21" s="4" t="str">
        <f>IFERROR(IF(INDEX('Test Execution'!$H$2:$H$55,MATCH($E21,'Test Execution'!$A$2:$A$55,0))="","Not Executed",INDEX('Test Execution'!$H$2:$H$55,MATCH($E21,'Test Execution'!$A$2:$A$55,0))),"Not Executed")</f>
        <v>Not Executed</v>
      </c>
      <c r="G21" s="4" t="str">
        <f>IFERROR(IF(INDEX('Test Execution'!$I$2:$I$55,MATCH($E21,'Test Execution'!$A$2:$A$55,0))="","",INDEX('Test Execution'!$I$2:$I$55,MATCH($E21,'Test Execution'!$A$2:$A$55,0))),"")</f>
        <v/>
      </c>
    </row>
    <row r="22" spans="1:7" x14ac:dyDescent="0.35">
      <c r="A22" s="2" t="s">
        <v>430</v>
      </c>
      <c r="B22" s="3" t="s">
        <v>431</v>
      </c>
      <c r="C22" s="3" t="s">
        <v>49</v>
      </c>
      <c r="D22" s="2" t="s">
        <v>52</v>
      </c>
      <c r="E22" s="2" t="s">
        <v>236</v>
      </c>
      <c r="F22" s="4" t="str">
        <f>IFERROR(IF(INDEX('Test Execution'!$H$2:$H$55,MATCH($E22,'Test Execution'!$A$2:$A$55,0))="","Not Executed",INDEX('Test Execution'!$H$2:$H$55,MATCH($E22,'Test Execution'!$A$2:$A$55,0))),"Not Executed")</f>
        <v>Not Executed</v>
      </c>
      <c r="G22" s="4" t="str">
        <f>IFERROR(IF(INDEX('Test Execution'!$I$2:$I$55,MATCH($E22,'Test Execution'!$A$2:$A$55,0))="","",INDEX('Test Execution'!$I$2:$I$55,MATCH($E22,'Test Execution'!$A$2:$A$55,0))),"")</f>
        <v/>
      </c>
    </row>
    <row r="23" spans="1:7" x14ac:dyDescent="0.35">
      <c r="A23" s="2" t="s">
        <v>430</v>
      </c>
      <c r="B23" s="3" t="s">
        <v>431</v>
      </c>
      <c r="C23" s="3" t="s">
        <v>49</v>
      </c>
      <c r="D23" s="2" t="s">
        <v>56</v>
      </c>
      <c r="E23" s="2" t="s">
        <v>241</v>
      </c>
      <c r="F23" s="4" t="str">
        <f>IFERROR(IF(INDEX('Test Execution'!$H$2:$H$55,MATCH($E23,'Test Execution'!$A$2:$A$55,0))="","Not Executed",INDEX('Test Execution'!$H$2:$H$55,MATCH($E23,'Test Execution'!$A$2:$A$55,0))),"Not Executed")</f>
        <v>Not Executed</v>
      </c>
      <c r="G23" s="4" t="str">
        <f>IFERROR(IF(INDEX('Test Execution'!$I$2:$I$55,MATCH($E23,'Test Execution'!$A$2:$A$55,0))="","",INDEX('Test Execution'!$I$2:$I$55,MATCH($E23,'Test Execution'!$A$2:$A$55,0))),"")</f>
        <v/>
      </c>
    </row>
    <row r="24" spans="1:7" x14ac:dyDescent="0.35">
      <c r="A24" s="2" t="s">
        <v>430</v>
      </c>
      <c r="B24" s="3" t="s">
        <v>431</v>
      </c>
      <c r="C24" s="3" t="s">
        <v>49</v>
      </c>
      <c r="D24" s="2" t="s">
        <v>60</v>
      </c>
      <c r="E24" s="2" t="s">
        <v>246</v>
      </c>
      <c r="F24" s="4" t="str">
        <f>IFERROR(IF(INDEX('Test Execution'!$H$2:$H$55,MATCH($E24,'Test Execution'!$A$2:$A$55,0))="","Not Executed",INDEX('Test Execution'!$H$2:$H$55,MATCH($E24,'Test Execution'!$A$2:$A$55,0))),"Not Executed")</f>
        <v>Not Executed</v>
      </c>
      <c r="G24" s="4" t="str">
        <f>IFERROR(IF(INDEX('Test Execution'!$I$2:$I$55,MATCH($E24,'Test Execution'!$A$2:$A$55,0))="","",INDEX('Test Execution'!$I$2:$I$55,MATCH($E24,'Test Execution'!$A$2:$A$55,0))),"")</f>
        <v/>
      </c>
    </row>
    <row r="25" spans="1:7" x14ac:dyDescent="0.35">
      <c r="A25" s="2" t="s">
        <v>430</v>
      </c>
      <c r="B25" s="3" t="s">
        <v>431</v>
      </c>
      <c r="C25" s="3" t="s">
        <v>49</v>
      </c>
      <c r="D25" s="2" t="s">
        <v>63</v>
      </c>
      <c r="E25" s="2" t="s">
        <v>251</v>
      </c>
      <c r="F25" s="4" t="str">
        <f>IFERROR(IF(INDEX('Test Execution'!$H$2:$H$55,MATCH($E25,'Test Execution'!$A$2:$A$55,0))="","Not Executed",INDEX('Test Execution'!$H$2:$H$55,MATCH($E25,'Test Execution'!$A$2:$A$55,0))),"Not Executed")</f>
        <v>Not Executed</v>
      </c>
      <c r="G25" s="4" t="str">
        <f>IFERROR(IF(INDEX('Test Execution'!$I$2:$I$55,MATCH($E25,'Test Execution'!$A$2:$A$55,0))="","",INDEX('Test Execution'!$I$2:$I$55,MATCH($E25,'Test Execution'!$A$2:$A$55,0))),"")</f>
        <v/>
      </c>
    </row>
    <row r="26" spans="1:7" ht="25" x14ac:dyDescent="0.35">
      <c r="A26" s="2" t="s">
        <v>432</v>
      </c>
      <c r="B26" s="3" t="s">
        <v>433</v>
      </c>
      <c r="C26" s="3" t="s">
        <v>68</v>
      </c>
      <c r="D26" s="2" t="s">
        <v>67</v>
      </c>
      <c r="E26" s="2" t="s">
        <v>255</v>
      </c>
      <c r="F26" s="4" t="str">
        <f>IFERROR(IF(INDEX('Test Execution'!$H$2:$H$55,MATCH($E26,'Test Execution'!$A$2:$A$55,0))="","Not Executed",INDEX('Test Execution'!$H$2:$H$55,MATCH($E26,'Test Execution'!$A$2:$A$55,0))),"Not Executed")</f>
        <v>Not Executed</v>
      </c>
      <c r="G26" s="4" t="str">
        <f>IFERROR(IF(INDEX('Test Execution'!$I$2:$I$55,MATCH($E26,'Test Execution'!$A$2:$A$55,0))="","",INDEX('Test Execution'!$I$2:$I$55,MATCH($E26,'Test Execution'!$A$2:$A$55,0))),"")</f>
        <v/>
      </c>
    </row>
    <row r="27" spans="1:7" ht="25" x14ac:dyDescent="0.35">
      <c r="A27" s="2" t="s">
        <v>432</v>
      </c>
      <c r="B27" s="3" t="s">
        <v>433</v>
      </c>
      <c r="C27" s="3" t="s">
        <v>68</v>
      </c>
      <c r="D27" s="2" t="s">
        <v>67</v>
      </c>
      <c r="E27" s="2" t="s">
        <v>260</v>
      </c>
      <c r="F27" s="4" t="str">
        <f>IFERROR(IF(INDEX('Test Execution'!$H$2:$H$55,MATCH($E27,'Test Execution'!$A$2:$A$55,0))="","Not Executed",INDEX('Test Execution'!$H$2:$H$55,MATCH($E27,'Test Execution'!$A$2:$A$55,0))),"Not Executed")</f>
        <v>Not Executed</v>
      </c>
      <c r="G27" s="4" t="str">
        <f>IFERROR(IF(INDEX('Test Execution'!$I$2:$I$55,MATCH($E27,'Test Execution'!$A$2:$A$55,0))="","",INDEX('Test Execution'!$I$2:$I$55,MATCH($E27,'Test Execution'!$A$2:$A$55,0))),"")</f>
        <v/>
      </c>
    </row>
    <row r="28" spans="1:7" ht="25" x14ac:dyDescent="0.35">
      <c r="A28" s="2" t="s">
        <v>432</v>
      </c>
      <c r="B28" s="3" t="s">
        <v>433</v>
      </c>
      <c r="C28" s="3" t="s">
        <v>68</v>
      </c>
      <c r="D28" s="2" t="s">
        <v>67</v>
      </c>
      <c r="E28" s="2" t="s">
        <v>265</v>
      </c>
      <c r="F28" s="4" t="str">
        <f>IFERROR(IF(INDEX('Test Execution'!$H$2:$H$55,MATCH($E28,'Test Execution'!$A$2:$A$55,0))="","Not Executed",INDEX('Test Execution'!$H$2:$H$55,MATCH($E28,'Test Execution'!$A$2:$A$55,0))),"Not Executed")</f>
        <v>Not Executed</v>
      </c>
      <c r="G28" s="4" t="str">
        <f>IFERROR(IF(INDEX('Test Execution'!$I$2:$I$55,MATCH($E28,'Test Execution'!$A$2:$A$55,0))="","",INDEX('Test Execution'!$I$2:$I$55,MATCH($E28,'Test Execution'!$A$2:$A$55,0))),"")</f>
        <v/>
      </c>
    </row>
    <row r="29" spans="1:7" ht="25" x14ac:dyDescent="0.35">
      <c r="A29" s="2" t="s">
        <v>432</v>
      </c>
      <c r="B29" s="3" t="s">
        <v>433</v>
      </c>
      <c r="C29" s="3" t="s">
        <v>68</v>
      </c>
      <c r="D29" s="2" t="s">
        <v>67</v>
      </c>
      <c r="E29" s="2" t="s">
        <v>270</v>
      </c>
      <c r="F29" s="4" t="str">
        <f>IFERROR(IF(INDEX('Test Execution'!$H$2:$H$55,MATCH($E29,'Test Execution'!$A$2:$A$55,0))="","Not Executed",INDEX('Test Execution'!$H$2:$H$55,MATCH($E29,'Test Execution'!$A$2:$A$55,0))),"Not Executed")</f>
        <v>Not Executed</v>
      </c>
      <c r="G29" s="4" t="str">
        <f>IFERROR(IF(INDEX('Test Execution'!$I$2:$I$55,MATCH($E29,'Test Execution'!$A$2:$A$55,0))="","",INDEX('Test Execution'!$I$2:$I$55,MATCH($E29,'Test Execution'!$A$2:$A$55,0))),"")</f>
        <v/>
      </c>
    </row>
    <row r="30" spans="1:7" ht="25" x14ac:dyDescent="0.35">
      <c r="A30" s="2" t="s">
        <v>432</v>
      </c>
      <c r="B30" s="3" t="s">
        <v>433</v>
      </c>
      <c r="C30" s="3" t="s">
        <v>68</v>
      </c>
      <c r="D30" s="2" t="s">
        <v>67</v>
      </c>
      <c r="E30" s="2" t="s">
        <v>275</v>
      </c>
      <c r="F30" s="4" t="str">
        <f>IFERROR(IF(INDEX('Test Execution'!$H$2:$H$55,MATCH($E30,'Test Execution'!$A$2:$A$55,0))="","Not Executed",INDEX('Test Execution'!$H$2:$H$55,MATCH($E30,'Test Execution'!$A$2:$A$55,0))),"Not Executed")</f>
        <v>Not Executed</v>
      </c>
      <c r="G30" s="4" t="str">
        <f>IFERROR(IF(INDEX('Test Execution'!$I$2:$I$55,MATCH($E30,'Test Execution'!$A$2:$A$55,0))="","",INDEX('Test Execution'!$I$2:$I$55,MATCH($E30,'Test Execution'!$A$2:$A$55,0))),"")</f>
        <v/>
      </c>
    </row>
    <row r="31" spans="1:7" ht="25" x14ac:dyDescent="0.35">
      <c r="A31" s="2" t="s">
        <v>432</v>
      </c>
      <c r="B31" s="3" t="s">
        <v>433</v>
      </c>
      <c r="C31" s="3" t="s">
        <v>68</v>
      </c>
      <c r="D31" s="2" t="s">
        <v>67</v>
      </c>
      <c r="E31" s="2" t="s">
        <v>280</v>
      </c>
      <c r="F31" s="4" t="str">
        <f>IFERROR(IF(INDEX('Test Execution'!$H$2:$H$55,MATCH($E31,'Test Execution'!$A$2:$A$55,0))="","Not Executed",INDEX('Test Execution'!$H$2:$H$55,MATCH($E31,'Test Execution'!$A$2:$A$55,0))),"Not Executed")</f>
        <v>Not Executed</v>
      </c>
      <c r="G31" s="4" t="str">
        <f>IFERROR(IF(INDEX('Test Execution'!$I$2:$I$55,MATCH($E31,'Test Execution'!$A$2:$A$55,0))="","",INDEX('Test Execution'!$I$2:$I$55,MATCH($E31,'Test Execution'!$A$2:$A$55,0))),"")</f>
        <v/>
      </c>
    </row>
    <row r="32" spans="1:7" ht="25" x14ac:dyDescent="0.35">
      <c r="A32" s="2" t="s">
        <v>432</v>
      </c>
      <c r="B32" s="3" t="s">
        <v>433</v>
      </c>
      <c r="C32" s="3" t="s">
        <v>68</v>
      </c>
      <c r="D32" s="2" t="s">
        <v>67</v>
      </c>
      <c r="E32" s="2" t="s">
        <v>285</v>
      </c>
      <c r="F32" s="4" t="str">
        <f>IFERROR(IF(INDEX('Test Execution'!$H$2:$H$55,MATCH($E32,'Test Execution'!$A$2:$A$55,0))="","Not Executed",INDEX('Test Execution'!$H$2:$H$55,MATCH($E32,'Test Execution'!$A$2:$A$55,0))),"Not Executed")</f>
        <v>Not Executed</v>
      </c>
      <c r="G32" s="4" t="str">
        <f>IFERROR(IF(INDEX('Test Execution'!$I$2:$I$55,MATCH($E32,'Test Execution'!$A$2:$A$55,0))="","",INDEX('Test Execution'!$I$2:$I$55,MATCH($E32,'Test Execution'!$A$2:$A$55,0))),"")</f>
        <v/>
      </c>
    </row>
    <row r="33" spans="1:7" ht="25" x14ac:dyDescent="0.35">
      <c r="A33" s="2" t="s">
        <v>432</v>
      </c>
      <c r="B33" s="3" t="s">
        <v>433</v>
      </c>
      <c r="C33" s="3" t="s">
        <v>68</v>
      </c>
      <c r="D33" s="2" t="s">
        <v>71</v>
      </c>
      <c r="E33" s="2" t="s">
        <v>290</v>
      </c>
      <c r="F33" s="4" t="str">
        <f>IFERROR(IF(INDEX('Test Execution'!$H$2:$H$55,MATCH($E33,'Test Execution'!$A$2:$A$55,0))="","Not Executed",INDEX('Test Execution'!$H$2:$H$55,MATCH($E33,'Test Execution'!$A$2:$A$55,0))),"Not Executed")</f>
        <v>Not Executed</v>
      </c>
      <c r="G33" s="4" t="str">
        <f>IFERROR(IF(INDEX('Test Execution'!$I$2:$I$55,MATCH($E33,'Test Execution'!$A$2:$A$55,0))="","",INDEX('Test Execution'!$I$2:$I$55,MATCH($E33,'Test Execution'!$A$2:$A$55,0))),"")</f>
        <v/>
      </c>
    </row>
    <row r="34" spans="1:7" ht="25" x14ac:dyDescent="0.35">
      <c r="A34" s="2" t="s">
        <v>432</v>
      </c>
      <c r="B34" s="3" t="s">
        <v>433</v>
      </c>
      <c r="C34" s="3" t="s">
        <v>68</v>
      </c>
      <c r="D34" s="2" t="s">
        <v>74</v>
      </c>
      <c r="E34" s="2" t="s">
        <v>295</v>
      </c>
      <c r="F34" s="4" t="str">
        <f>IFERROR(IF(INDEX('Test Execution'!$H$2:$H$55,MATCH($E34,'Test Execution'!$A$2:$A$55,0))="","Not Executed",INDEX('Test Execution'!$H$2:$H$55,MATCH($E34,'Test Execution'!$A$2:$A$55,0))),"Not Executed")</f>
        <v>Not Executed</v>
      </c>
      <c r="G34" s="4" t="str">
        <f>IFERROR(IF(INDEX('Test Execution'!$I$2:$I$55,MATCH($E34,'Test Execution'!$A$2:$A$55,0))="","",INDEX('Test Execution'!$I$2:$I$55,MATCH($E34,'Test Execution'!$A$2:$A$55,0))),"")</f>
        <v/>
      </c>
    </row>
    <row r="35" spans="1:7" ht="25" x14ac:dyDescent="0.35">
      <c r="A35" s="2" t="s">
        <v>434</v>
      </c>
      <c r="B35" s="3" t="s">
        <v>435</v>
      </c>
      <c r="C35" s="3" t="s">
        <v>68</v>
      </c>
      <c r="D35" s="2" t="s">
        <v>78</v>
      </c>
      <c r="E35" s="2" t="s">
        <v>296</v>
      </c>
      <c r="F35" s="4" t="str">
        <f>IFERROR(IF(INDEX('Test Execution'!$H$2:$H$55,MATCH($E35,'Test Execution'!$A$2:$A$55,0))="","Not Executed",INDEX('Test Execution'!$H$2:$H$55,MATCH($E35,'Test Execution'!$A$2:$A$55,0))),"Not Executed")</f>
        <v>Not Executed</v>
      </c>
      <c r="G35" s="4" t="str">
        <f>IFERROR(IF(INDEX('Test Execution'!$I$2:$I$55,MATCH($E35,'Test Execution'!$A$2:$A$55,0))="","",INDEX('Test Execution'!$I$2:$I$55,MATCH($E35,'Test Execution'!$A$2:$A$55,0))),"")</f>
        <v/>
      </c>
    </row>
    <row r="36" spans="1:7" ht="25" x14ac:dyDescent="0.35">
      <c r="A36" s="2" t="s">
        <v>434</v>
      </c>
      <c r="B36" s="3" t="s">
        <v>435</v>
      </c>
      <c r="C36" s="3" t="s">
        <v>68</v>
      </c>
      <c r="D36" s="2" t="s">
        <v>78</v>
      </c>
      <c r="E36" s="2" t="s">
        <v>302</v>
      </c>
      <c r="F36" s="4" t="str">
        <f>IFERROR(IF(INDEX('Test Execution'!$H$2:$H$55,MATCH($E36,'Test Execution'!$A$2:$A$55,0))="","Not Executed",INDEX('Test Execution'!$H$2:$H$55,MATCH($E36,'Test Execution'!$A$2:$A$55,0))),"Not Executed")</f>
        <v>Not Executed</v>
      </c>
      <c r="G36" s="4" t="str">
        <f>IFERROR(IF(INDEX('Test Execution'!$I$2:$I$55,MATCH($E36,'Test Execution'!$A$2:$A$55,0))="","",INDEX('Test Execution'!$I$2:$I$55,MATCH($E36,'Test Execution'!$A$2:$A$55,0))),"")</f>
        <v/>
      </c>
    </row>
    <row r="37" spans="1:7" ht="25" x14ac:dyDescent="0.35">
      <c r="A37" s="2" t="s">
        <v>434</v>
      </c>
      <c r="B37" s="3" t="s">
        <v>435</v>
      </c>
      <c r="C37" s="3" t="s">
        <v>68</v>
      </c>
      <c r="D37" s="2" t="s">
        <v>82</v>
      </c>
      <c r="E37" s="2" t="s">
        <v>306</v>
      </c>
      <c r="F37" s="4" t="str">
        <f>IFERROR(IF(INDEX('Test Execution'!$H$2:$H$55,MATCH($E37,'Test Execution'!$A$2:$A$55,0))="","Not Executed",INDEX('Test Execution'!$H$2:$H$55,MATCH($E37,'Test Execution'!$A$2:$A$55,0))),"Not Executed")</f>
        <v>Not Executed</v>
      </c>
      <c r="G37" s="4" t="str">
        <f>IFERROR(IF(INDEX('Test Execution'!$I$2:$I$55,MATCH($E37,'Test Execution'!$A$2:$A$55,0))="","",INDEX('Test Execution'!$I$2:$I$55,MATCH($E37,'Test Execution'!$A$2:$A$55,0))),"")</f>
        <v/>
      </c>
    </row>
    <row r="38" spans="1:7" ht="25" x14ac:dyDescent="0.35">
      <c r="A38" s="2" t="s">
        <v>436</v>
      </c>
      <c r="B38" s="3" t="s">
        <v>437</v>
      </c>
      <c r="C38" s="3" t="s">
        <v>86</v>
      </c>
      <c r="D38" s="2" t="s">
        <v>85</v>
      </c>
      <c r="E38" s="2" t="s">
        <v>311</v>
      </c>
      <c r="F38" s="4" t="str">
        <f>IFERROR(IF(INDEX('Test Execution'!$H$2:$H$55,MATCH($E38,'Test Execution'!$A$2:$A$55,0))="","Not Executed",INDEX('Test Execution'!$H$2:$H$55,MATCH($E38,'Test Execution'!$A$2:$A$55,0))),"Not Executed")</f>
        <v>Not Executed</v>
      </c>
      <c r="G38" s="4" t="str">
        <f>IFERROR(IF(INDEX('Test Execution'!$I$2:$I$55,MATCH($E38,'Test Execution'!$A$2:$A$55,0))="","",INDEX('Test Execution'!$I$2:$I$55,MATCH($E38,'Test Execution'!$A$2:$A$55,0))),"")</f>
        <v/>
      </c>
    </row>
    <row r="39" spans="1:7" ht="25" x14ac:dyDescent="0.35">
      <c r="A39" s="2" t="s">
        <v>436</v>
      </c>
      <c r="B39" s="3" t="s">
        <v>437</v>
      </c>
      <c r="C39" s="3" t="s">
        <v>86</v>
      </c>
      <c r="D39" s="2" t="s">
        <v>85</v>
      </c>
      <c r="E39" s="2" t="s">
        <v>317</v>
      </c>
      <c r="F39" s="4" t="str">
        <f>IFERROR(IF(INDEX('Test Execution'!$H$2:$H$55,MATCH($E39,'Test Execution'!$A$2:$A$55,0))="","Not Executed",INDEX('Test Execution'!$H$2:$H$55,MATCH($E39,'Test Execution'!$A$2:$A$55,0))),"Not Executed")</f>
        <v>Not Executed</v>
      </c>
      <c r="G39" s="4" t="str">
        <f>IFERROR(IF(INDEX('Test Execution'!$I$2:$I$55,MATCH($E39,'Test Execution'!$A$2:$A$55,0))="","",INDEX('Test Execution'!$I$2:$I$55,MATCH($E39,'Test Execution'!$A$2:$A$55,0))),"")</f>
        <v/>
      </c>
    </row>
    <row r="40" spans="1:7" ht="25" x14ac:dyDescent="0.35">
      <c r="A40" s="2" t="s">
        <v>436</v>
      </c>
      <c r="B40" s="3" t="s">
        <v>437</v>
      </c>
      <c r="C40" s="3" t="s">
        <v>86</v>
      </c>
      <c r="D40" s="2" t="s">
        <v>85</v>
      </c>
      <c r="E40" s="2" t="s">
        <v>321</v>
      </c>
      <c r="F40" s="4" t="str">
        <f>IFERROR(IF(INDEX('Test Execution'!$H$2:$H$55,MATCH($E40,'Test Execution'!$A$2:$A$55,0))="","Not Executed",INDEX('Test Execution'!$H$2:$H$55,MATCH($E40,'Test Execution'!$A$2:$A$55,0))),"Not Executed")</f>
        <v>Not Executed</v>
      </c>
      <c r="G40" s="4" t="str">
        <f>IFERROR(IF(INDEX('Test Execution'!$I$2:$I$55,MATCH($E40,'Test Execution'!$A$2:$A$55,0))="","",INDEX('Test Execution'!$I$2:$I$55,MATCH($E40,'Test Execution'!$A$2:$A$55,0))),"")</f>
        <v/>
      </c>
    </row>
    <row r="41" spans="1:7" ht="25" x14ac:dyDescent="0.35">
      <c r="A41" s="2" t="s">
        <v>436</v>
      </c>
      <c r="B41" s="3" t="s">
        <v>437</v>
      </c>
      <c r="C41" s="3" t="s">
        <v>86</v>
      </c>
      <c r="D41" s="2" t="s">
        <v>85</v>
      </c>
      <c r="E41" s="2" t="s">
        <v>327</v>
      </c>
      <c r="F41" s="4" t="str">
        <f>IFERROR(IF(INDEX('Test Execution'!$H$2:$H$55,MATCH($E41,'Test Execution'!$A$2:$A$55,0))="","Not Executed",INDEX('Test Execution'!$H$2:$H$55,MATCH($E41,'Test Execution'!$A$2:$A$55,0))),"Not Executed")</f>
        <v>Not Executed</v>
      </c>
      <c r="G41" s="4" t="str">
        <f>IFERROR(IF(INDEX('Test Execution'!$I$2:$I$55,MATCH($E41,'Test Execution'!$A$2:$A$55,0))="","",INDEX('Test Execution'!$I$2:$I$55,MATCH($E41,'Test Execution'!$A$2:$A$55,0))),"")</f>
        <v/>
      </c>
    </row>
    <row r="42" spans="1:7" x14ac:dyDescent="0.35">
      <c r="A42" s="2" t="s">
        <v>438</v>
      </c>
      <c r="B42" s="3" t="s">
        <v>439</v>
      </c>
      <c r="C42" s="3" t="s">
        <v>86</v>
      </c>
      <c r="D42" s="2" t="s">
        <v>89</v>
      </c>
      <c r="E42" s="2" t="s">
        <v>332</v>
      </c>
      <c r="F42" s="4" t="str">
        <f>IFERROR(IF(INDEX('Test Execution'!$H$2:$H$55,MATCH($E42,'Test Execution'!$A$2:$A$55,0))="","Not Executed",INDEX('Test Execution'!$H$2:$H$55,MATCH($E42,'Test Execution'!$A$2:$A$55,0))),"Not Executed")</f>
        <v>Not Executed</v>
      </c>
      <c r="G42" s="4" t="str">
        <f>IFERROR(IF(INDEX('Test Execution'!$I$2:$I$55,MATCH($E42,'Test Execution'!$A$2:$A$55,0))="","",INDEX('Test Execution'!$I$2:$I$55,MATCH($E42,'Test Execution'!$A$2:$A$55,0))),"")</f>
        <v/>
      </c>
    </row>
    <row r="43" spans="1:7" x14ac:dyDescent="0.35">
      <c r="A43" s="2" t="s">
        <v>438</v>
      </c>
      <c r="B43" s="3" t="s">
        <v>439</v>
      </c>
      <c r="C43" s="3" t="s">
        <v>86</v>
      </c>
      <c r="D43" s="2" t="s">
        <v>89</v>
      </c>
      <c r="E43" s="2" t="s">
        <v>337</v>
      </c>
      <c r="F43" s="4" t="str">
        <f>IFERROR(IF(INDEX('Test Execution'!$H$2:$H$55,MATCH($E43,'Test Execution'!$A$2:$A$55,0))="","Not Executed",INDEX('Test Execution'!$H$2:$H$55,MATCH($E43,'Test Execution'!$A$2:$A$55,0))),"Not Executed")</f>
        <v>Not Executed</v>
      </c>
      <c r="G43" s="4" t="str">
        <f>IFERROR(IF(INDEX('Test Execution'!$I$2:$I$55,MATCH($E43,'Test Execution'!$A$2:$A$55,0))="","",INDEX('Test Execution'!$I$2:$I$55,MATCH($E43,'Test Execution'!$A$2:$A$55,0))),"")</f>
        <v/>
      </c>
    </row>
    <row r="44" spans="1:7" ht="25" x14ac:dyDescent="0.35">
      <c r="A44" s="2" t="s">
        <v>440</v>
      </c>
      <c r="B44" s="3" t="s">
        <v>441</v>
      </c>
      <c r="C44" s="3" t="s">
        <v>93</v>
      </c>
      <c r="D44" s="2" t="s">
        <v>92</v>
      </c>
      <c r="E44" s="2" t="s">
        <v>342</v>
      </c>
      <c r="F44" s="4" t="str">
        <f>IFERROR(IF(INDEX('Test Execution'!$H$2:$H$55,MATCH($E44,'Test Execution'!$A$2:$A$55,0))="","Not Executed",INDEX('Test Execution'!$H$2:$H$55,MATCH($E44,'Test Execution'!$A$2:$A$55,0))),"Not Executed")</f>
        <v>Not Executed</v>
      </c>
      <c r="G44" s="4" t="str">
        <f>IFERROR(IF(INDEX('Test Execution'!$I$2:$I$55,MATCH($E44,'Test Execution'!$A$2:$A$55,0))="","",INDEX('Test Execution'!$I$2:$I$55,MATCH($E44,'Test Execution'!$A$2:$A$55,0))),"")</f>
        <v/>
      </c>
    </row>
    <row r="45" spans="1:7" ht="25" x14ac:dyDescent="0.35">
      <c r="A45" s="2" t="s">
        <v>440</v>
      </c>
      <c r="B45" s="3" t="s">
        <v>441</v>
      </c>
      <c r="C45" s="3" t="s">
        <v>93</v>
      </c>
      <c r="D45" s="2" t="s">
        <v>92</v>
      </c>
      <c r="E45" s="2" t="s">
        <v>347</v>
      </c>
      <c r="F45" s="4" t="str">
        <f>IFERROR(IF(INDEX('Test Execution'!$H$2:$H$55,MATCH($E45,'Test Execution'!$A$2:$A$55,0))="","Not Executed",INDEX('Test Execution'!$H$2:$H$55,MATCH($E45,'Test Execution'!$A$2:$A$55,0))),"Not Executed")</f>
        <v>Not Executed</v>
      </c>
      <c r="G45" s="4" t="str">
        <f>IFERROR(IF(INDEX('Test Execution'!$I$2:$I$55,MATCH($E45,'Test Execution'!$A$2:$A$55,0))="","",INDEX('Test Execution'!$I$2:$I$55,MATCH($E45,'Test Execution'!$A$2:$A$55,0))),"")</f>
        <v/>
      </c>
    </row>
    <row r="46" spans="1:7" x14ac:dyDescent="0.35">
      <c r="A46" s="2" t="s">
        <v>442</v>
      </c>
      <c r="B46" s="3" t="s">
        <v>443</v>
      </c>
      <c r="C46" s="3" t="s">
        <v>93</v>
      </c>
      <c r="D46" s="2" t="s">
        <v>97</v>
      </c>
      <c r="E46" s="2" t="s">
        <v>352</v>
      </c>
      <c r="F46" s="4" t="str">
        <f>IFERROR(IF(INDEX('Test Execution'!$H$2:$H$55,MATCH($E46,'Test Execution'!$A$2:$A$55,0))="","Not Executed",INDEX('Test Execution'!$H$2:$H$55,MATCH($E46,'Test Execution'!$A$2:$A$55,0))),"Not Executed")</f>
        <v>Not Executed</v>
      </c>
      <c r="G46" s="4" t="str">
        <f>IFERROR(IF(INDEX('Test Execution'!$I$2:$I$55,MATCH($E46,'Test Execution'!$A$2:$A$55,0))="","",INDEX('Test Execution'!$I$2:$I$55,MATCH($E46,'Test Execution'!$A$2:$A$55,0))),"")</f>
        <v/>
      </c>
    </row>
    <row r="47" spans="1:7" x14ac:dyDescent="0.35">
      <c r="A47" s="2" t="s">
        <v>444</v>
      </c>
      <c r="B47" s="3" t="s">
        <v>445</v>
      </c>
      <c r="C47" s="3" t="s">
        <v>93</v>
      </c>
      <c r="D47" s="2" t="s">
        <v>100</v>
      </c>
      <c r="E47" s="2" t="s">
        <v>356</v>
      </c>
      <c r="F47" s="4" t="str">
        <f>IFERROR(IF(INDEX('Test Execution'!$H$2:$H$55,MATCH($E47,'Test Execution'!$A$2:$A$55,0))="","Not Executed",INDEX('Test Execution'!$H$2:$H$55,MATCH($E47,'Test Execution'!$A$2:$A$55,0))),"Not Executed")</f>
        <v>Not Executed</v>
      </c>
      <c r="G47" s="4" t="str">
        <f>IFERROR(IF(INDEX('Test Execution'!$I$2:$I$55,MATCH($E47,'Test Execution'!$A$2:$A$55,0))="","",INDEX('Test Execution'!$I$2:$I$55,MATCH($E47,'Test Execution'!$A$2:$A$55,0))),"")</f>
        <v/>
      </c>
    </row>
    <row r="48" spans="1:7" x14ac:dyDescent="0.35">
      <c r="A48" s="2" t="s">
        <v>446</v>
      </c>
      <c r="B48" s="3" t="s">
        <v>447</v>
      </c>
      <c r="C48" s="3" t="s">
        <v>104</v>
      </c>
      <c r="D48" s="2" t="s">
        <v>103</v>
      </c>
      <c r="E48" s="2" t="s">
        <v>360</v>
      </c>
      <c r="F48" s="4" t="str">
        <f>IFERROR(IF(INDEX('Test Execution'!$H$2:$H$55,MATCH($E48,'Test Execution'!$A$2:$A$55,0))="","Not Executed",INDEX('Test Execution'!$H$2:$H$55,MATCH($E48,'Test Execution'!$A$2:$A$55,0))),"Not Executed")</f>
        <v>Not Executed</v>
      </c>
      <c r="G48" s="4" t="str">
        <f>IFERROR(IF(INDEX('Test Execution'!$I$2:$I$55,MATCH($E48,'Test Execution'!$A$2:$A$55,0))="","",INDEX('Test Execution'!$I$2:$I$55,MATCH($E48,'Test Execution'!$A$2:$A$55,0))),"")</f>
        <v/>
      </c>
    </row>
    <row r="49" spans="1:7" x14ac:dyDescent="0.35">
      <c r="A49" s="2" t="s">
        <v>446</v>
      </c>
      <c r="B49" s="3" t="s">
        <v>447</v>
      </c>
      <c r="C49" s="3" t="s">
        <v>104</v>
      </c>
      <c r="D49" s="2" t="s">
        <v>103</v>
      </c>
      <c r="E49" s="2" t="s">
        <v>366</v>
      </c>
      <c r="F49" s="4" t="str">
        <f>IFERROR(IF(INDEX('Test Execution'!$H$2:$H$55,MATCH($E49,'Test Execution'!$A$2:$A$55,0))="","Not Executed",INDEX('Test Execution'!$H$2:$H$55,MATCH($E49,'Test Execution'!$A$2:$A$55,0))),"Not Executed")</f>
        <v>Not Executed</v>
      </c>
      <c r="G49" s="4" t="str">
        <f>IFERROR(IF(INDEX('Test Execution'!$I$2:$I$55,MATCH($E49,'Test Execution'!$A$2:$A$55,0))="","",INDEX('Test Execution'!$I$2:$I$55,MATCH($E49,'Test Execution'!$A$2:$A$55,0))),"")</f>
        <v/>
      </c>
    </row>
    <row r="50" spans="1:7" x14ac:dyDescent="0.35">
      <c r="A50" s="2" t="s">
        <v>448</v>
      </c>
      <c r="B50" s="3" t="s">
        <v>449</v>
      </c>
      <c r="C50" s="3" t="s">
        <v>104</v>
      </c>
      <c r="D50" s="2" t="s">
        <v>108</v>
      </c>
      <c r="E50" s="2" t="s">
        <v>372</v>
      </c>
      <c r="F50" s="4" t="str">
        <f>IFERROR(IF(INDEX('Test Execution'!$H$2:$H$55,MATCH($E50,'Test Execution'!$A$2:$A$55,0))="","Not Executed",INDEX('Test Execution'!$H$2:$H$55,MATCH($E50,'Test Execution'!$A$2:$A$55,0))),"Not Executed")</f>
        <v>Not Executed</v>
      </c>
      <c r="G50" s="4" t="str">
        <f>IFERROR(IF(INDEX('Test Execution'!$I$2:$I$55,MATCH($E50,'Test Execution'!$A$2:$A$55,0))="","",INDEX('Test Execution'!$I$2:$I$55,MATCH($E50,'Test Execution'!$A$2:$A$55,0))),"")</f>
        <v/>
      </c>
    </row>
    <row r="51" spans="1:7" x14ac:dyDescent="0.35">
      <c r="A51" s="2" t="s">
        <v>448</v>
      </c>
      <c r="B51" s="3" t="s">
        <v>449</v>
      </c>
      <c r="C51" s="3" t="s">
        <v>104</v>
      </c>
      <c r="D51" s="2" t="s">
        <v>108</v>
      </c>
      <c r="E51" s="2" t="s">
        <v>377</v>
      </c>
      <c r="F51" s="4" t="str">
        <f>IFERROR(IF(INDEX('Test Execution'!$H$2:$H$55,MATCH($E51,'Test Execution'!$A$2:$A$55,0))="","Not Executed",INDEX('Test Execution'!$H$2:$H$55,MATCH($E51,'Test Execution'!$A$2:$A$55,0))),"Not Executed")</f>
        <v>Not Executed</v>
      </c>
      <c r="G51" s="4" t="str">
        <f>IFERROR(IF(INDEX('Test Execution'!$I$2:$I$55,MATCH($E51,'Test Execution'!$A$2:$A$55,0))="","",INDEX('Test Execution'!$I$2:$I$55,MATCH($E51,'Test Execution'!$A$2:$A$55,0))),"")</f>
        <v/>
      </c>
    </row>
    <row r="52" spans="1:7" x14ac:dyDescent="0.35">
      <c r="A52" s="2" t="s">
        <v>446</v>
      </c>
      <c r="B52" s="3" t="s">
        <v>447</v>
      </c>
      <c r="C52" s="3" t="s">
        <v>104</v>
      </c>
      <c r="D52" s="2" t="s">
        <v>112</v>
      </c>
      <c r="E52" s="2" t="s">
        <v>380</v>
      </c>
      <c r="F52" s="4" t="str">
        <f>IFERROR(IF(INDEX('Test Execution'!$H$2:$H$55,MATCH($E52,'Test Execution'!$A$2:$A$55,0))="","Not Executed",INDEX('Test Execution'!$H$2:$H$55,MATCH($E52,'Test Execution'!$A$2:$A$55,0))),"Not Executed")</f>
        <v>Not Executed</v>
      </c>
      <c r="G52" s="4" t="str">
        <f>IFERROR(IF(INDEX('Test Execution'!$I$2:$I$55,MATCH($E52,'Test Execution'!$A$2:$A$55,0))="","",INDEX('Test Execution'!$I$2:$I$55,MATCH($E52,'Test Execution'!$A$2:$A$55,0))),"")</f>
        <v/>
      </c>
    </row>
    <row r="53" spans="1:7" x14ac:dyDescent="0.35">
      <c r="A53" s="2" t="s">
        <v>450</v>
      </c>
      <c r="B53" s="3" t="s">
        <v>451</v>
      </c>
      <c r="C53" s="3" t="s">
        <v>117</v>
      </c>
      <c r="D53" s="2" t="s">
        <v>116</v>
      </c>
      <c r="E53" s="2" t="s">
        <v>385</v>
      </c>
      <c r="F53" s="4" t="str">
        <f>IFERROR(IF(INDEX('Test Execution'!$H$2:$H$55,MATCH($E53,'Test Execution'!$A$2:$A$55,0))="","Not Executed",INDEX('Test Execution'!$H$2:$H$55,MATCH($E53,'Test Execution'!$A$2:$A$55,0))),"Not Executed")</f>
        <v>Not Executed</v>
      </c>
      <c r="G53" s="4" t="str">
        <f>IFERROR(IF(INDEX('Test Execution'!$I$2:$I$55,MATCH($E53,'Test Execution'!$A$2:$A$55,0))="","",INDEX('Test Execution'!$I$2:$I$55,MATCH($E53,'Test Execution'!$A$2:$A$55,0))),"")</f>
        <v/>
      </c>
    </row>
    <row r="54" spans="1:7" x14ac:dyDescent="0.35">
      <c r="A54" s="2" t="s">
        <v>450</v>
      </c>
      <c r="B54" s="3" t="s">
        <v>451</v>
      </c>
      <c r="C54" s="3" t="s">
        <v>117</v>
      </c>
      <c r="D54" s="2" t="s">
        <v>116</v>
      </c>
      <c r="E54" s="2" t="s">
        <v>390</v>
      </c>
      <c r="F54" s="4" t="str">
        <f>IFERROR(IF(INDEX('Test Execution'!$H$2:$H$55,MATCH($E54,'Test Execution'!$A$2:$A$55,0))="","Not Executed",INDEX('Test Execution'!$H$2:$H$55,MATCH($E54,'Test Execution'!$A$2:$A$55,0))),"Not Executed")</f>
        <v>Not Executed</v>
      </c>
      <c r="G54" s="4" t="str">
        <f>IFERROR(IF(INDEX('Test Execution'!$I$2:$I$55,MATCH($E54,'Test Execution'!$A$2:$A$55,0))="","",INDEX('Test Execution'!$I$2:$I$55,MATCH($E54,'Test Execution'!$A$2:$A$55,0))),"")</f>
        <v/>
      </c>
    </row>
    <row r="55" spans="1:7" x14ac:dyDescent="0.35">
      <c r="A55" s="2" t="s">
        <v>452</v>
      </c>
      <c r="B55" s="3" t="s">
        <v>453</v>
      </c>
      <c r="C55" s="3" t="s">
        <v>117</v>
      </c>
      <c r="D55" s="2" t="s">
        <v>121</v>
      </c>
      <c r="E55" s="2" t="s">
        <v>392</v>
      </c>
      <c r="F55" s="4" t="str">
        <f>IFERROR(IF(INDEX('Test Execution'!$H$2:$H$55,MATCH($E55,'Test Execution'!$A$2:$A$55,0))="","Not Executed",INDEX('Test Execution'!$H$2:$H$55,MATCH($E55,'Test Execution'!$A$2:$A$55,0))),"Not Executed")</f>
        <v>Not Executed</v>
      </c>
      <c r="G55" s="4" t="str">
        <f>IFERROR(IF(INDEX('Test Execution'!$I$2:$I$55,MATCH($E55,'Test Execution'!$A$2:$A$55,0))="","",INDEX('Test Execution'!$I$2:$I$55,MATCH($E55,'Test Execution'!$A$2:$A$55,0))),"")</f>
        <v/>
      </c>
    </row>
    <row r="57" spans="1:7" x14ac:dyDescent="0.35">
      <c r="A57" s="10" t="s">
        <v>454</v>
      </c>
    </row>
  </sheetData>
  <autoFilter ref="A1:G55" xr:uid="{00000000-0009-0000-0000-000004000000}"/>
  <conditionalFormatting sqref="F2:F55">
    <cfRule type="cellIs" dxfId="3" priority="2" operator="equal">
      <formula>"Pass"</formula>
    </cfRule>
    <cfRule type="cellIs" dxfId="2" priority="3" operator="equal">
      <formula>"Fail"</formula>
    </cfRule>
    <cfRule type="cellIs" dxfId="1" priority="4" operator="equal">
      <formula>"Blocked"</formula>
    </cfRule>
    <cfRule type="cellIs" dxfId="0" priority="5" operator="equal">
      <formula>"Not Executed"</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3"/>
  <sheetViews>
    <sheetView zoomScaleNormal="100" workbookViewId="0"/>
  </sheetViews>
  <sheetFormatPr defaultColWidth="8.6328125" defaultRowHeight="14.5" x14ac:dyDescent="0.35"/>
  <cols>
    <col min="1" max="1" width="28" customWidth="1"/>
    <col min="2" max="2" width="58" customWidth="1"/>
    <col min="3" max="3" width="40" customWidth="1"/>
    <col min="4" max="4" width="3" customWidth="1"/>
    <col min="5" max="5" width="30" customWidth="1"/>
    <col min="6" max="10" width="13" customWidth="1"/>
  </cols>
  <sheetData>
    <row r="1" spans="1:10" ht="18" x14ac:dyDescent="0.4">
      <c r="A1" s="11" t="s">
        <v>455</v>
      </c>
    </row>
    <row r="3" spans="1:10" x14ac:dyDescent="0.35">
      <c r="A3" s="12" t="s">
        <v>456</v>
      </c>
      <c r="B3" s="13"/>
      <c r="C3" s="13"/>
      <c r="E3" s="14" t="s">
        <v>457</v>
      </c>
    </row>
    <row r="4" spans="1:10" x14ac:dyDescent="0.35">
      <c r="A4" s="15" t="s">
        <v>458</v>
      </c>
      <c r="B4" s="3" t="s">
        <v>459</v>
      </c>
      <c r="C4" s="16"/>
      <c r="E4" s="1" t="s">
        <v>1</v>
      </c>
      <c r="F4" s="1" t="s">
        <v>460</v>
      </c>
      <c r="G4" s="1" t="s">
        <v>461</v>
      </c>
      <c r="H4" s="1" t="s">
        <v>462</v>
      </c>
      <c r="I4" s="1" t="s">
        <v>463</v>
      </c>
      <c r="J4" s="1" t="s">
        <v>403</v>
      </c>
    </row>
    <row r="5" spans="1:10" x14ac:dyDescent="0.35">
      <c r="A5" s="15" t="s">
        <v>464</v>
      </c>
      <c r="B5" s="3" t="s">
        <v>465</v>
      </c>
      <c r="C5" s="16"/>
      <c r="E5" s="17" t="s">
        <v>7</v>
      </c>
      <c r="F5" s="18">
        <f>COUNTIF('Test Cases'!$C$2:$C$55,$E5)</f>
        <v>8</v>
      </c>
      <c r="G5" s="18">
        <f>COUNTIFS('Test Execution'!$B$2:$B$55,$E5,'Test Execution'!$H$2:$H$55,"Pass")</f>
        <v>0</v>
      </c>
      <c r="H5" s="18">
        <f>COUNTIFS('Test Execution'!$B$2:$B$55,$E5,'Test Execution'!$H$2:$H$55,"Fail")</f>
        <v>0</v>
      </c>
      <c r="I5" s="18">
        <f>COUNTIFS('Test Execution'!$B$2:$B$55,$E5,'Test Execution'!$H$2:$H$55,"Blocked")</f>
        <v>0</v>
      </c>
      <c r="J5" s="18">
        <f t="shared" ref="J5:J12" si="0">F5-G5-H5-I5</f>
        <v>8</v>
      </c>
    </row>
    <row r="6" spans="1:10" x14ac:dyDescent="0.35">
      <c r="A6" s="15" t="s">
        <v>466</v>
      </c>
      <c r="B6" s="7"/>
      <c r="C6" s="16" t="s">
        <v>467</v>
      </c>
      <c r="E6" s="17" t="s">
        <v>29</v>
      </c>
      <c r="F6" s="18">
        <f>COUNTIF('Test Cases'!$C$2:$C$55,$E6)</f>
        <v>6</v>
      </c>
      <c r="G6" s="18">
        <f>COUNTIFS('Test Execution'!$B$2:$B$55,$E6,'Test Execution'!$H$2:$H$55,"Pass")</f>
        <v>0</v>
      </c>
      <c r="H6" s="18">
        <f>COUNTIFS('Test Execution'!$B$2:$B$55,$E6,'Test Execution'!$H$2:$H$55,"Fail")</f>
        <v>0</v>
      </c>
      <c r="I6" s="18">
        <f>COUNTIFS('Test Execution'!$B$2:$B$55,$E6,'Test Execution'!$H$2:$H$55,"Blocked")</f>
        <v>0</v>
      </c>
      <c r="J6" s="18">
        <f t="shared" si="0"/>
        <v>6</v>
      </c>
    </row>
    <row r="7" spans="1:10" x14ac:dyDescent="0.35">
      <c r="A7" s="15" t="s">
        <v>468</v>
      </c>
      <c r="B7" s="7"/>
      <c r="C7" s="16" t="s">
        <v>469</v>
      </c>
      <c r="E7" s="17" t="s">
        <v>49</v>
      </c>
      <c r="F7" s="18">
        <f>COUNTIF('Test Cases'!$C$2:$C$55,$E7)</f>
        <v>10</v>
      </c>
      <c r="G7" s="18">
        <f>COUNTIFS('Test Execution'!$B$2:$B$55,$E7,'Test Execution'!$H$2:$H$55,"Pass")</f>
        <v>0</v>
      </c>
      <c r="H7" s="18">
        <f>COUNTIFS('Test Execution'!$B$2:$B$55,$E7,'Test Execution'!$H$2:$H$55,"Fail")</f>
        <v>0</v>
      </c>
      <c r="I7" s="18">
        <f>COUNTIFS('Test Execution'!$B$2:$B$55,$E7,'Test Execution'!$H$2:$H$55,"Blocked")</f>
        <v>0</v>
      </c>
      <c r="J7" s="18">
        <f t="shared" si="0"/>
        <v>10</v>
      </c>
    </row>
    <row r="8" spans="1:10" x14ac:dyDescent="0.35">
      <c r="A8" s="15" t="s">
        <v>398</v>
      </c>
      <c r="B8" s="7"/>
      <c r="C8" s="16" t="s">
        <v>470</v>
      </c>
      <c r="E8" s="17" t="s">
        <v>68</v>
      </c>
      <c r="F8" s="18">
        <f>COUNTIF('Test Cases'!$C$2:$C$55,$E8)</f>
        <v>12</v>
      </c>
      <c r="G8" s="18">
        <f>COUNTIFS('Test Execution'!$B$2:$B$55,$E8,'Test Execution'!$H$2:$H$55,"Pass")</f>
        <v>0</v>
      </c>
      <c r="H8" s="18">
        <f>COUNTIFS('Test Execution'!$B$2:$B$55,$E8,'Test Execution'!$H$2:$H$55,"Fail")</f>
        <v>0</v>
      </c>
      <c r="I8" s="18">
        <f>COUNTIFS('Test Execution'!$B$2:$B$55,$E8,'Test Execution'!$H$2:$H$55,"Blocked")</f>
        <v>0</v>
      </c>
      <c r="J8" s="18">
        <f t="shared" si="0"/>
        <v>12</v>
      </c>
    </row>
    <row r="9" spans="1:10" x14ac:dyDescent="0.35">
      <c r="E9" s="17" t="s">
        <v>86</v>
      </c>
      <c r="F9" s="18">
        <f>COUNTIF('Test Cases'!$C$2:$C$55,$E9)</f>
        <v>6</v>
      </c>
      <c r="G9" s="18">
        <f>COUNTIFS('Test Execution'!$B$2:$B$55,$E9,'Test Execution'!$H$2:$H$55,"Pass")</f>
        <v>0</v>
      </c>
      <c r="H9" s="18">
        <f>COUNTIFS('Test Execution'!$B$2:$B$55,$E9,'Test Execution'!$H$2:$H$55,"Fail")</f>
        <v>0</v>
      </c>
      <c r="I9" s="18">
        <f>COUNTIFS('Test Execution'!$B$2:$B$55,$E9,'Test Execution'!$H$2:$H$55,"Blocked")</f>
        <v>0</v>
      </c>
      <c r="J9" s="18">
        <f t="shared" si="0"/>
        <v>6</v>
      </c>
    </row>
    <row r="10" spans="1:10" x14ac:dyDescent="0.35">
      <c r="A10" s="12" t="s">
        <v>471</v>
      </c>
      <c r="B10" s="13"/>
      <c r="C10" s="13"/>
      <c r="E10" s="17" t="s">
        <v>93</v>
      </c>
      <c r="F10" s="18">
        <f>COUNTIF('Test Cases'!$C$2:$C$55,$E10)</f>
        <v>4</v>
      </c>
      <c r="G10" s="18">
        <f>COUNTIFS('Test Execution'!$B$2:$B$55,$E10,'Test Execution'!$H$2:$H$55,"Pass")</f>
        <v>0</v>
      </c>
      <c r="H10" s="18">
        <f>COUNTIFS('Test Execution'!$B$2:$B$55,$E10,'Test Execution'!$H$2:$H$55,"Fail")</f>
        <v>0</v>
      </c>
      <c r="I10" s="18">
        <f>COUNTIFS('Test Execution'!$B$2:$B$55,$E10,'Test Execution'!$H$2:$H$55,"Blocked")</f>
        <v>0</v>
      </c>
      <c r="J10" s="18">
        <f t="shared" si="0"/>
        <v>4</v>
      </c>
    </row>
    <row r="11" spans="1:10" x14ac:dyDescent="0.35">
      <c r="A11" s="15" t="s">
        <v>472</v>
      </c>
      <c r="B11" s="5">
        <f>COUNTA('Test Cases'!$A$2:$A$55)</f>
        <v>54</v>
      </c>
      <c r="C11" s="16" t="s">
        <v>473</v>
      </c>
      <c r="E11" s="17" t="s">
        <v>104</v>
      </c>
      <c r="F11" s="18">
        <f>COUNTIF('Test Cases'!$C$2:$C$55,$E11)</f>
        <v>5</v>
      </c>
      <c r="G11" s="18">
        <f>COUNTIFS('Test Execution'!$B$2:$B$55,$E11,'Test Execution'!$H$2:$H$55,"Pass")</f>
        <v>0</v>
      </c>
      <c r="H11" s="18">
        <f>COUNTIFS('Test Execution'!$B$2:$B$55,$E11,'Test Execution'!$H$2:$H$55,"Fail")</f>
        <v>0</v>
      </c>
      <c r="I11" s="18">
        <f>COUNTIFS('Test Execution'!$B$2:$B$55,$E11,'Test Execution'!$H$2:$H$55,"Blocked")</f>
        <v>0</v>
      </c>
      <c r="J11" s="18">
        <f t="shared" si="0"/>
        <v>5</v>
      </c>
    </row>
    <row r="12" spans="1:10" x14ac:dyDescent="0.35">
      <c r="A12" s="15" t="s">
        <v>474</v>
      </c>
      <c r="B12" s="5">
        <f>COUNTIF('Test Execution'!$H$2:$H$55,"Pass")</f>
        <v>0</v>
      </c>
      <c r="C12" s="16" t="s">
        <v>475</v>
      </c>
      <c r="E12" s="17" t="s">
        <v>117</v>
      </c>
      <c r="F12" s="18">
        <f>COUNTIF('Test Cases'!$C$2:$C$55,$E12)</f>
        <v>3</v>
      </c>
      <c r="G12" s="18">
        <f>COUNTIFS('Test Execution'!$B$2:$B$55,$E12,'Test Execution'!$H$2:$H$55,"Pass")</f>
        <v>0</v>
      </c>
      <c r="H12" s="18">
        <f>COUNTIFS('Test Execution'!$B$2:$B$55,$E12,'Test Execution'!$H$2:$H$55,"Fail")</f>
        <v>0</v>
      </c>
      <c r="I12" s="18">
        <f>COUNTIFS('Test Execution'!$B$2:$B$55,$E12,'Test Execution'!$H$2:$H$55,"Blocked")</f>
        <v>0</v>
      </c>
      <c r="J12" s="18">
        <f t="shared" si="0"/>
        <v>3</v>
      </c>
    </row>
    <row r="13" spans="1:10" x14ac:dyDescent="0.35">
      <c r="A13" s="15" t="s">
        <v>476</v>
      </c>
      <c r="B13" s="5">
        <f>COUNTIF('Test Execution'!$H$2:$H$55,"Fail")</f>
        <v>0</v>
      </c>
      <c r="C13" s="16"/>
      <c r="E13" s="19" t="s">
        <v>477</v>
      </c>
      <c r="F13" s="20">
        <f>SUM(F5:F12)</f>
        <v>54</v>
      </c>
      <c r="G13" s="20">
        <f>SUM(G5:G12)</f>
        <v>0</v>
      </c>
      <c r="H13" s="20">
        <f>SUM(H5:H12)</f>
        <v>0</v>
      </c>
      <c r="I13" s="20">
        <f>SUM(I5:I12)</f>
        <v>0</v>
      </c>
      <c r="J13" s="20">
        <f>SUM(J5:J12)</f>
        <v>54</v>
      </c>
    </row>
    <row r="14" spans="1:10" x14ac:dyDescent="0.35">
      <c r="A14" s="15" t="s">
        <v>463</v>
      </c>
      <c r="B14" s="5">
        <f>COUNTIF('Test Execution'!$H$2:$H$55,"Blocked")</f>
        <v>0</v>
      </c>
      <c r="C14" s="16"/>
    </row>
    <row r="15" spans="1:10" x14ac:dyDescent="0.35">
      <c r="A15" s="15" t="s">
        <v>478</v>
      </c>
      <c r="B15" s="5">
        <f>B12+B13+B14</f>
        <v>0</v>
      </c>
      <c r="C15" s="16" t="s">
        <v>479</v>
      </c>
    </row>
    <row r="16" spans="1:10" x14ac:dyDescent="0.35">
      <c r="A16" s="15" t="s">
        <v>403</v>
      </c>
      <c r="B16" s="5">
        <f>B11-B15</f>
        <v>54</v>
      </c>
      <c r="C16" s="16" t="s">
        <v>480</v>
      </c>
    </row>
    <row r="17" spans="1:3" x14ac:dyDescent="0.35">
      <c r="A17" s="15" t="s">
        <v>481</v>
      </c>
      <c r="B17" s="21">
        <f>IF(B11=0,0,B15/B11)</f>
        <v>0</v>
      </c>
      <c r="C17" s="16" t="s">
        <v>482</v>
      </c>
    </row>
    <row r="18" spans="1:3" x14ac:dyDescent="0.35">
      <c r="A18" s="15" t="s">
        <v>483</v>
      </c>
      <c r="B18" s="21">
        <f>IF(B15=0,0,B12/B15)</f>
        <v>0</v>
      </c>
      <c r="C18" s="16" t="s">
        <v>484</v>
      </c>
    </row>
    <row r="20" spans="1:3" x14ac:dyDescent="0.35">
      <c r="A20" s="12" t="s">
        <v>485</v>
      </c>
      <c r="B20" s="13"/>
      <c r="C20" s="13"/>
    </row>
    <row r="21" spans="1:3" x14ac:dyDescent="0.35">
      <c r="A21" s="15" t="s">
        <v>486</v>
      </c>
      <c r="B21" s="5">
        <f>COUNTA('Bug Reports'!$A$2:$A$101)</f>
        <v>0</v>
      </c>
      <c r="C21" s="16" t="s">
        <v>487</v>
      </c>
    </row>
    <row r="22" spans="1:3" x14ac:dyDescent="0.35">
      <c r="A22" s="15" t="s">
        <v>488</v>
      </c>
      <c r="B22" s="5">
        <f>COUNTIF('Bug Reports'!$J$2:$J$101,"Critical")</f>
        <v>0</v>
      </c>
      <c r="C22" s="16"/>
    </row>
    <row r="23" spans="1:3" x14ac:dyDescent="0.35">
      <c r="A23" s="15" t="s">
        <v>489</v>
      </c>
      <c r="B23" s="5">
        <f>COUNTIF('Bug Reports'!$J$2:$J$101,"High")</f>
        <v>0</v>
      </c>
      <c r="C23" s="16"/>
    </row>
    <row r="24" spans="1:3" x14ac:dyDescent="0.35">
      <c r="A24" s="15" t="s">
        <v>490</v>
      </c>
      <c r="B24" s="5">
        <f>COUNTIF('Bug Reports'!$J$2:$J$101,"Medium")</f>
        <v>0</v>
      </c>
      <c r="C24" s="16"/>
    </row>
    <row r="25" spans="1:3" x14ac:dyDescent="0.35">
      <c r="A25" s="15" t="s">
        <v>491</v>
      </c>
      <c r="B25" s="5">
        <f>COUNTIF('Bug Reports'!$J$2:$J$101,"Low")</f>
        <v>0</v>
      </c>
      <c r="C25" s="16"/>
    </row>
    <row r="26" spans="1:3" x14ac:dyDescent="0.35">
      <c r="A26" s="15" t="s">
        <v>492</v>
      </c>
      <c r="B26" s="5">
        <f>B21-COUNTIF('Bug Reports'!$L$2:$L$101,"Closed")-COUNTIF('Bug Reports'!$L$2:$L$101,"Rejected")</f>
        <v>0</v>
      </c>
      <c r="C26" s="16" t="s">
        <v>493</v>
      </c>
    </row>
    <row r="28" spans="1:3" x14ac:dyDescent="0.35">
      <c r="A28" s="12" t="s">
        <v>494</v>
      </c>
      <c r="B28" s="13"/>
      <c r="C28" s="13"/>
    </row>
    <row r="29" spans="1:3" ht="75" customHeight="1" x14ac:dyDescent="0.35">
      <c r="A29" s="15" t="s">
        <v>495</v>
      </c>
      <c r="B29" s="3" t="s">
        <v>496</v>
      </c>
      <c r="C29" s="16" t="s">
        <v>497</v>
      </c>
    </row>
    <row r="30" spans="1:3" ht="75" customHeight="1" x14ac:dyDescent="0.35">
      <c r="A30" s="15" t="s">
        <v>498</v>
      </c>
      <c r="B30" s="3" t="s">
        <v>499</v>
      </c>
      <c r="C30" s="16" t="s">
        <v>500</v>
      </c>
    </row>
    <row r="31" spans="1:3" ht="75" customHeight="1" x14ac:dyDescent="0.35">
      <c r="A31" s="15" t="s">
        <v>501</v>
      </c>
      <c r="B31" s="7"/>
      <c r="C31" s="16" t="s">
        <v>502</v>
      </c>
    </row>
    <row r="32" spans="1:3" ht="75" customHeight="1" x14ac:dyDescent="0.35">
      <c r="A32" s="15" t="s">
        <v>503</v>
      </c>
      <c r="B32" s="3" t="s">
        <v>504</v>
      </c>
      <c r="C32" s="16" t="s">
        <v>505</v>
      </c>
    </row>
    <row r="33" spans="1:3" ht="75" customHeight="1" x14ac:dyDescent="0.35">
      <c r="A33" s="15" t="s">
        <v>506</v>
      </c>
      <c r="B33" s="7"/>
      <c r="C33" s="16" t="s">
        <v>507</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2"/>
  <sheetViews>
    <sheetView zoomScaleNormal="100" workbookViewId="0"/>
  </sheetViews>
  <sheetFormatPr defaultColWidth="8.6328125" defaultRowHeight="14.5" x14ac:dyDescent="0.35"/>
  <cols>
    <col min="1" max="1" width="30" customWidth="1"/>
    <col min="2" max="2" width="100" customWidth="1"/>
  </cols>
  <sheetData>
    <row r="1" spans="1:2" ht="31" x14ac:dyDescent="0.35">
      <c r="A1" s="22" t="s">
        <v>508</v>
      </c>
      <c r="B1" s="23"/>
    </row>
    <row r="2" spans="1:2" ht="42" customHeight="1" x14ac:dyDescent="0.35">
      <c r="A2" s="24" t="s">
        <v>509</v>
      </c>
      <c r="B2" s="3" t="s">
        <v>510</v>
      </c>
    </row>
    <row r="3" spans="1:2" ht="42" customHeight="1" x14ac:dyDescent="0.35">
      <c r="A3" s="15" t="s">
        <v>511</v>
      </c>
      <c r="B3" s="3" t="s">
        <v>512</v>
      </c>
    </row>
    <row r="4" spans="1:2" ht="42" customHeight="1" x14ac:dyDescent="0.35">
      <c r="A4" s="15" t="s">
        <v>513</v>
      </c>
      <c r="B4" s="3" t="s">
        <v>514</v>
      </c>
    </row>
    <row r="5" spans="1:2" ht="42" customHeight="1" x14ac:dyDescent="0.35">
      <c r="A5" s="15" t="s">
        <v>515</v>
      </c>
      <c r="B5" s="3" t="s">
        <v>516</v>
      </c>
    </row>
    <row r="6" spans="1:2" ht="42" customHeight="1" x14ac:dyDescent="0.35">
      <c r="A6" s="15" t="s">
        <v>463</v>
      </c>
      <c r="B6" s="3" t="s">
        <v>517</v>
      </c>
    </row>
    <row r="7" spans="1:2" ht="42" customHeight="1" x14ac:dyDescent="0.35">
      <c r="A7" s="15" t="s">
        <v>518</v>
      </c>
      <c r="B7" s="3" t="s">
        <v>519</v>
      </c>
    </row>
    <row r="8" spans="1:2" ht="42" customHeight="1" x14ac:dyDescent="0.35">
      <c r="A8" s="15" t="s">
        <v>520</v>
      </c>
      <c r="B8" s="3" t="s">
        <v>521</v>
      </c>
    </row>
    <row r="9" spans="1:2" ht="42" customHeight="1" x14ac:dyDescent="0.35">
      <c r="A9" s="15" t="s">
        <v>522</v>
      </c>
      <c r="B9" s="3" t="s">
        <v>523</v>
      </c>
    </row>
    <row r="10" spans="1:2" ht="42" customHeight="1" x14ac:dyDescent="0.35">
      <c r="A10" s="15" t="s">
        <v>524</v>
      </c>
      <c r="B10" s="3" t="s">
        <v>525</v>
      </c>
    </row>
    <row r="11" spans="1:2" ht="42" customHeight="1" x14ac:dyDescent="0.35">
      <c r="A11" s="15" t="s">
        <v>526</v>
      </c>
      <c r="B11" s="3" t="s">
        <v>527</v>
      </c>
    </row>
    <row r="12" spans="1:2" ht="42" customHeight="1" x14ac:dyDescent="0.35">
      <c r="A12" s="15" t="s">
        <v>528</v>
      </c>
      <c r="B12" s="3" t="s">
        <v>529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 Scenarios</vt:lpstr>
      <vt:lpstr>Test Cases</vt:lpstr>
      <vt:lpstr>Test Execution</vt:lpstr>
      <vt:lpstr>Bug Reports</vt:lpstr>
      <vt:lpstr>RTM</vt:lpstr>
      <vt:lpstr>Test Summary</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Siddhi Kamble</cp:lastModifiedBy>
  <cp:revision>0</cp:revision>
  <dcterms:created xsi:type="dcterms:W3CDTF">2026-10-08T20:20:58Z</dcterms:created>
  <dcterms:modified xsi:type="dcterms:W3CDTF">2026-10-11T13:59:34Z</dcterms:modified>
  <dc:language>en-US</dc:language>
</cp:coreProperties>
</file>